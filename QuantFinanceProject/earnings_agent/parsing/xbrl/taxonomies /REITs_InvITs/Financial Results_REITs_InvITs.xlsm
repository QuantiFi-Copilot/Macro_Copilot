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D:\MIHIR\"/>
    </mc:Choice>
  </mc:AlternateContent>
  <bookViews>
    <workbookView xWindow="0" yWindow="0" windowWidth="20490" windowHeight="7905" tabRatio="900"/>
  </bookViews>
  <sheets>
    <sheet name="Index" sheetId="13" r:id="rId1"/>
    <sheet name="General Info" sheetId="1" r:id="rId2"/>
    <sheet name="Distribution" sheetId="2" r:id="rId3"/>
    <sheet name="Net Asset Value" sheetId="3" state="hidden" r:id="rId4"/>
    <sheet name="TextBlock" sheetId="12" state="hidden" r:id="rId5"/>
    <sheet name="Details of Funds raised" sheetId="4" r:id="rId6"/>
    <sheet name="Details of Assets Acquired" sheetId="6" r:id="rId7"/>
    <sheet name="Details of Assets Disposed Off" sheetId="7" r:id="rId8"/>
    <sheet name="Details of Capital Raised" sheetId="5" r:id="rId9"/>
    <sheet name="Taxonomy" sheetId="11" state="hidden" r:id="rId10"/>
    <sheet name="Net Distributable Cash Flow" sheetId="8" r:id="rId11"/>
    <sheet name="Capital and Debt Structure_SPVs" sheetId="9" r:id="rId12"/>
    <sheet name="SPVs held through HoldCos" sheetId="10" r:id="rId13"/>
  </sheets>
  <definedNames>
    <definedName name="_xlnm._FilterDatabase" localSheetId="9" hidden="1">Taxonomy!$A$1:$H$222</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8" i="10" l="1"/>
  <c r="H18" i="10"/>
  <c r="H25" i="10" s="1"/>
  <c r="H29" i="10" s="1"/>
  <c r="H81" i="10"/>
  <c r="H61" i="10"/>
  <c r="H68" i="10" s="1"/>
  <c r="H72" i="10" s="1"/>
  <c r="H83" i="9"/>
  <c r="H63" i="9"/>
  <c r="H70" i="9" s="1"/>
  <c r="H74" i="9" s="1"/>
  <c r="H39" i="9"/>
  <c r="H19" i="9"/>
  <c r="H26" i="9" s="1"/>
  <c r="H30" i="9" s="1"/>
  <c r="G72" i="8"/>
  <c r="G73" i="8" s="1"/>
  <c r="G61" i="8"/>
  <c r="G41" i="8"/>
  <c r="G32" i="8"/>
  <c r="G22" i="8"/>
  <c r="G149" i="8"/>
  <c r="G150" i="8" s="1"/>
  <c r="G138" i="8"/>
  <c r="G118" i="8"/>
  <c r="G109" i="8"/>
  <c r="G99" i="8"/>
  <c r="H15" i="3"/>
  <c r="H17" i="3" s="1"/>
  <c r="G15" i="3"/>
  <c r="G17" i="3" s="1"/>
  <c r="H84" i="9" l="1"/>
  <c r="H82" i="10"/>
  <c r="H39" i="10"/>
  <c r="H40" i="9"/>
  <c r="G82" i="8"/>
  <c r="G159" i="8"/>
  <c r="AC1" i="1" l="1"/>
  <c r="AD1" i="1" s="1"/>
  <c r="AE1" i="1" s="1"/>
  <c r="AF1" i="1" s="1"/>
  <c r="AG1" i="1" s="1"/>
  <c r="AH1" i="1" s="1"/>
  <c r="AI1" i="1" s="1"/>
  <c r="AJ1" i="1" s="1"/>
  <c r="AK1" i="1" s="1"/>
  <c r="AL1" i="1" s="1"/>
  <c r="AM1" i="1" s="1"/>
  <c r="AN1" i="1" s="1"/>
  <c r="AO1" i="1" s="1"/>
  <c r="AP1" i="1" s="1"/>
  <c r="AQ1" i="1" s="1"/>
  <c r="AR1" i="1" s="1"/>
  <c r="AS1" i="1" s="1"/>
  <c r="AT1" i="1" s="1"/>
  <c r="AU1" i="1" s="1"/>
  <c r="AV1" i="1" s="1"/>
  <c r="AW1" i="1" s="1"/>
  <c r="AX1" i="1" s="1"/>
  <c r="AY1" i="1" s="1"/>
  <c r="AZ1" i="1" s="1"/>
  <c r="BA1" i="1" s="1"/>
  <c r="BB1" i="1" s="1"/>
  <c r="BC1" i="1" s="1"/>
  <c r="BD1" i="1" s="1"/>
  <c r="BE1" i="1" s="1"/>
  <c r="BF1" i="1" s="1"/>
  <c r="BG1" i="1" s="1"/>
  <c r="BH1" i="1" s="1"/>
  <c r="BI1" i="1" s="1"/>
  <c r="BJ1" i="1" s="1"/>
  <c r="BK1" i="1" s="1"/>
  <c r="BL1" i="1" s="1"/>
  <c r="BM1" i="1" s="1"/>
  <c r="BN1" i="1" s="1"/>
  <c r="BO1" i="1" s="1"/>
  <c r="BP1" i="1" s="1"/>
  <c r="BQ1" i="1" s="1"/>
  <c r="BR1" i="1" s="1"/>
  <c r="BS1" i="1" s="1"/>
  <c r="BT1" i="1" s="1"/>
</calcChain>
</file>

<file path=xl/sharedStrings.xml><?xml version="1.0" encoding="utf-8"?>
<sst xmlns="http://schemas.openxmlformats.org/spreadsheetml/2006/main" count="1503" uniqueCount="701">
  <si>
    <t>Lakhs</t>
  </si>
  <si>
    <t>00</t>
  </si>
  <si>
    <t>01</t>
  </si>
  <si>
    <t>02</t>
  </si>
  <si>
    <t>03</t>
  </si>
  <si>
    <t>04</t>
  </si>
  <si>
    <t>05</t>
  </si>
  <si>
    <t>06</t>
  </si>
  <si>
    <t>07</t>
  </si>
  <si>
    <t>08</t>
  </si>
  <si>
    <t>09</t>
  </si>
  <si>
    <t>10</t>
  </si>
  <si>
    <t>11</t>
  </si>
  <si>
    <t>12</t>
  </si>
  <si>
    <t>13</t>
  </si>
  <si>
    <t>Millions</t>
  </si>
  <si>
    <t>First quarter</t>
  </si>
  <si>
    <t>Half yearly</t>
  </si>
  <si>
    <t>Third quarter</t>
  </si>
  <si>
    <t>Yearly</t>
  </si>
  <si>
    <t>Crores</t>
  </si>
  <si>
    <t>Consolidated</t>
  </si>
  <si>
    <t>Standalone</t>
  </si>
  <si>
    <t>Audited</t>
  </si>
  <si>
    <t>Unaudited</t>
  </si>
  <si>
    <t>Billions</t>
  </si>
  <si>
    <t>Scrip code</t>
  </si>
  <si>
    <t>NSE Symbol</t>
  </si>
  <si>
    <t>MSEI Symbol</t>
  </si>
  <si>
    <t>ISIN</t>
  </si>
  <si>
    <t>Name of company</t>
  </si>
  <si>
    <t>Date of start of financial year</t>
  </si>
  <si>
    <t>Date of end of financial year</t>
  </si>
  <si>
    <t>Date of board meeting when results were approved</t>
  </si>
  <si>
    <t>Date on which prior intimation of the meeting for considering financial results was informed to the exchange</t>
  </si>
  <si>
    <t>Description of presentation currency</t>
  </si>
  <si>
    <t>INR</t>
  </si>
  <si>
    <t>Reporting Quarter</t>
  </si>
  <si>
    <t>Nature of report standalone or consolidated</t>
  </si>
  <si>
    <t>Whether results are audited or unaudited</t>
  </si>
  <si>
    <t>For Current Quarter Only</t>
  </si>
  <si>
    <t>Start date and time of board meeting</t>
  </si>
  <si>
    <t>HH:MM</t>
  </si>
  <si>
    <t>End date and time of board meeting</t>
  </si>
  <si>
    <t xml:space="preserve">Details of Distributions made during each quarter of the Financial Year </t>
  </si>
  <si>
    <t>A</t>
  </si>
  <si>
    <t>Date of start of reporting period</t>
  </si>
  <si>
    <t>B</t>
  </si>
  <si>
    <t>Date of end of reporting period</t>
  </si>
  <si>
    <t>Sr.</t>
  </si>
  <si>
    <t>Particulars</t>
  </si>
  <si>
    <t>Record Date</t>
  </si>
  <si>
    <t>Date of Board Meeting in which the distribution declared</t>
  </si>
  <si>
    <t xml:space="preserve">Total amount of distribution declared </t>
  </si>
  <si>
    <t>Total Amount Per Unit (in Rs.)</t>
  </si>
  <si>
    <t>Out of the total amount of distribution declared, the amount in the form of interest, less taxes, if any</t>
  </si>
  <si>
    <t>OutOfTheTotalAmountOfDistributionDeclaredTheAmountInTheFormOfInterestLessTaxes</t>
  </si>
  <si>
    <t>OutOfTheTotalAmountOfDistributionDeclaredTheAmountPerUnitInTheFormOfInterestLessTaxes</t>
  </si>
  <si>
    <t>Out of the total amount of distribution declared, the amount in the form of dividend</t>
  </si>
  <si>
    <t>OutOfTheTotalAmountOfDistributionDeclaredTheAmountInTheFormOfDividend</t>
  </si>
  <si>
    <t>OutOfTheTotalAmountOfDistributionDeclaredTheAmountPerUnitInTheFormOfDividend</t>
  </si>
  <si>
    <t>Out of the total amount of distribution declared, including amount in the form of amortization of SPV level debt</t>
  </si>
  <si>
    <t>OutOfTheTotalAmountOfDistributionDeclaredIncludingAmountInTheFormOfAmortizationOfSPVLevelDebt</t>
  </si>
  <si>
    <t>OutOfTheTotalAmountOfDistributionDeclaredIncludingAmountPerUnitInTheFormOfAmortizationOfSPVLevelDebt</t>
  </si>
  <si>
    <t>Out of the total amount of distribution declared, the amount in form of other income</t>
  </si>
  <si>
    <t>OutOfTheTotalAmountOfDistributionDeclaredTheAmountInFormOfOtherIncome</t>
  </si>
  <si>
    <t>OutOfTheTotalAmountOfDistributionDeclaredTheAmountPerUnitInFormOfOtherIncome</t>
  </si>
  <si>
    <t>Due date of the payment of distribution</t>
  </si>
  <si>
    <t>Date by which payment of distribution is completed</t>
  </si>
  <si>
    <t>Note - If the distributions are declared and paid on half yearly basis, information shall be filled in last quarter of the half year. For instance, if distribution is declared for the half year ending September 30th, numbers may be filled in Q2 only and Q1 shall be left blank.</t>
  </si>
  <si>
    <t>Net Asset Value (NAV) of INVIT / REIT at Fair Value</t>
  </si>
  <si>
    <t>For the Half Year Ended</t>
  </si>
  <si>
    <t>For the Year ended</t>
  </si>
  <si>
    <t>S. No.</t>
  </si>
  <si>
    <t>Assets</t>
  </si>
  <si>
    <t>Liabilities</t>
  </si>
  <si>
    <t>C</t>
  </si>
  <si>
    <t>Net Assets (A - B)</t>
  </si>
  <si>
    <t>D</t>
  </si>
  <si>
    <t>No. of Units Outstanding</t>
  </si>
  <si>
    <t>E</t>
  </si>
  <si>
    <t>NAV (C/D)</t>
  </si>
  <si>
    <t>Sr no.</t>
  </si>
  <si>
    <t>Types of Borrowings</t>
  </si>
  <si>
    <t>Opening Outstanding</t>
  </si>
  <si>
    <t>Raised During the period</t>
  </si>
  <si>
    <t>Repaid during the period</t>
  </si>
  <si>
    <t>Closing Outstanding</t>
  </si>
  <si>
    <t>Borrowings from Domestic - Banks/ Financial Institutions (including term loans)</t>
  </si>
  <si>
    <t>Borrowings from domestic banks financial institutions [Member]</t>
  </si>
  <si>
    <t>Non-Convertible Debentures (NCDs)</t>
  </si>
  <si>
    <t>Non convertible debentures [Member]</t>
  </si>
  <si>
    <t>Non-Convertible Preference Shares (NCRPs)</t>
  </si>
  <si>
    <t>Non convertible preference shares [Member]</t>
  </si>
  <si>
    <t>ECBs</t>
  </si>
  <si>
    <t>ECBs [Member]</t>
  </si>
  <si>
    <t>Details of aggregate consolidated borrowing as per SEBI InvIT/ REIT Regulations</t>
  </si>
  <si>
    <t>Ratio</t>
  </si>
  <si>
    <t>Aggregate consolidated borrowing along with interest payable if any</t>
  </si>
  <si>
    <t>(Add) Deferred payment of InvIT/ REIT, HoldCo, SPV</t>
  </si>
  <si>
    <t>(Less) Cash &amp; cash equivalent other than unclaimed dividend (including short term treasury investments)</t>
  </si>
  <si>
    <t>Total (Aggregate consolidated borrowing)</t>
  </si>
  <si>
    <t>Value of InvIT/ REIT Assets (Gross Asset Value)</t>
  </si>
  <si>
    <t>% proportion of A in comparison to B</t>
  </si>
  <si>
    <t>Disclosure of notes on Reporting Period</t>
  </si>
  <si>
    <t>Debt securities (NCDs)</t>
  </si>
  <si>
    <t>Loans / ECB</t>
  </si>
  <si>
    <t>Preference Capital (NCRPS)</t>
  </si>
  <si>
    <t>InviT / HoldCo / SPVs</t>
  </si>
  <si>
    <t>Coupon Rate</t>
  </si>
  <si>
    <t>Interest payment frequency</t>
  </si>
  <si>
    <t>Secured/unsecured</t>
  </si>
  <si>
    <t>Tenure</t>
  </si>
  <si>
    <t>Assets on which charge is created, if any</t>
  </si>
  <si>
    <t>Name of the lender</t>
  </si>
  <si>
    <t>Amount (INR crore)</t>
  </si>
  <si>
    <t>Tenure of Loan</t>
  </si>
  <si>
    <t>Right Issue</t>
  </si>
  <si>
    <t>Preferential Issue</t>
  </si>
  <si>
    <t>Institutional Placement</t>
  </si>
  <si>
    <t>Details of Capital raised during the period</t>
  </si>
  <si>
    <t>Nature of issue (Right Issue/ Preferential Issue/ Institutional Placement)</t>
  </si>
  <si>
    <t>Date of Board Approval</t>
  </si>
  <si>
    <t>Date of Unitholders Approval</t>
  </si>
  <si>
    <t xml:space="preserve">Date of Issue  </t>
  </si>
  <si>
    <t>Issue Size (Number of Units)</t>
  </si>
  <si>
    <t>Issue Price per Unit</t>
  </si>
  <si>
    <t xml:space="preserve">Date of Allotment of Securities </t>
  </si>
  <si>
    <t xml:space="preserve">Details of Listing of Securites </t>
  </si>
  <si>
    <t>Outright sale</t>
  </si>
  <si>
    <t>Joint Venture</t>
  </si>
  <si>
    <t>Joint Development</t>
  </si>
  <si>
    <t>Area Share</t>
  </si>
  <si>
    <t>Others</t>
  </si>
  <si>
    <t>Yes</t>
  </si>
  <si>
    <t>No</t>
  </si>
  <si>
    <t xml:space="preserve">
</t>
  </si>
  <si>
    <t>Details of Assets acquired during the reporting period</t>
  </si>
  <si>
    <t>Sr.No.</t>
  </si>
  <si>
    <t xml:space="preserve">Nature of the Asset </t>
  </si>
  <si>
    <t>Date of Meeting of Board of the Manager / IM / Unitholders Approval</t>
  </si>
  <si>
    <t>Type of transaction (Outright purchase / Joint Venture / Joint Development / Area Share / Others)</t>
  </si>
  <si>
    <t>Date on which the Asset was acquired</t>
  </si>
  <si>
    <t>Name of the Parties from whom the Asset was acquired</t>
  </si>
  <si>
    <t>Whether it is a Related Party Transaction</t>
  </si>
  <si>
    <t>Remarks</t>
  </si>
  <si>
    <t>Details of Assets disposed off during the reporting period</t>
  </si>
  <si>
    <t>Type of transaction (Outright sale / Joint Venture / Joint Development / Area Share / Others)</t>
  </si>
  <si>
    <t>Date on which the Asset was disposed off</t>
  </si>
  <si>
    <t xml:space="preserve">Name of the Parties to whom the Asset was disposed off  </t>
  </si>
  <si>
    <t>Statement of  Net Distributable Cash Flows (NDCF)</t>
  </si>
  <si>
    <t>No of Projects</t>
  </si>
  <si>
    <t>Cash flows received from SPVs and investment entity including but not limited to</t>
  </si>
  <si>
    <t>Interest</t>
  </si>
  <si>
    <t>Dividends (net of applicable taxes)</t>
  </si>
  <si>
    <t>Repayment of Shareholder Debt / REIT / InvIT Funding ( Net of Addional Debt Extended to the SPV's)</t>
  </si>
  <si>
    <t>Proceeds from buy-backs/ capital reduction (net of applicable taxes)</t>
  </si>
  <si>
    <t>Redemption proceeds from preference shares or any other similar instrument</t>
  </si>
  <si>
    <t>Specify any Other</t>
  </si>
  <si>
    <t>Add: Proceeds from sale of investments, assets or sale of shares of SPVs, liquidation of any other asset or investment (incl. cash equivalents) or any form of fund raise at REIT / InvIT level  adjusted for the following:</t>
  </si>
  <si>
    <t>Applicable capital gains and other taxes, if any</t>
  </si>
  <si>
    <t>Related / any debts settled or due to be settled from sale proceeds</t>
  </si>
  <si>
    <t>Directly attributable / any other transaction costs</t>
  </si>
  <si>
    <t>Proceeds reinvested or planned to be reinvested as per Regulation 18(16)(d) of the REIT Regulations / Regulation 18(7)(a) of InvIT Regulations</t>
  </si>
  <si>
    <t>Any acquisition</t>
  </si>
  <si>
    <t>Investments as permitted under the REIT / InvIT regulations</t>
  </si>
  <si>
    <t>Lending to SPVs as may be deemed necessary by the Manager</t>
  </si>
  <si>
    <t>Add: Proceeds from fund raised through external lenders/bankers/issue of units/NCD/Preference share capital at InvIT/ REIT level  adjusted for the following:</t>
  </si>
  <si>
    <t>Applicable capital gains and other taxes</t>
  </si>
  <si>
    <t>Related debts settled or due to be settled from sale proceeds</t>
  </si>
  <si>
    <t>Directly attributable transaction costs</t>
  </si>
  <si>
    <t>Proceeds reinvested or planned to be reinvested as per Regulation 18(16)(d) of the INVIT/REIT Regulations</t>
  </si>
  <si>
    <t xml:space="preserve">Investments as permitted under the InvIT/REIT regulations </t>
  </si>
  <si>
    <t>Add: Proceeds from sale of investments, assets or sale of shares of SPVs not distributed pursuant to an earlier plan to re-invest as per Regulation 18(16)(d) of the REIT / InvIT Regulations, if such proceeds are not intended to be invested subsequently</t>
  </si>
  <si>
    <t xml:space="preserve">Less: Amount invested in Fixed deposits/ Mutual funds/ any other liquid instruments by the Trust. </t>
  </si>
  <si>
    <t>Add: Any other income received / receivable by of the Trust and not captured herein</t>
  </si>
  <si>
    <t>Less: Any other expense accruing / paid at the Trust level and not captured herein</t>
  </si>
  <si>
    <t>Less: Any expense in the nature of capital expenditure / Repair at REIT / InvIT level or Portifolio Asset</t>
  </si>
  <si>
    <t>Less: Any fees, including but not limited to:</t>
  </si>
  <si>
    <t>Trustee fees</t>
  </si>
  <si>
    <t>Investment Manager Fees</t>
  </si>
  <si>
    <t>Project Manager Fees</t>
  </si>
  <si>
    <t>REIT / INVIT Management Fees</t>
  </si>
  <si>
    <t>Valuer fees</t>
  </si>
  <si>
    <t>Auditor Fees</t>
  </si>
  <si>
    <t>Rating  fees</t>
  </si>
  <si>
    <t>Listing Fees if any</t>
  </si>
  <si>
    <t>Legal and professional fees</t>
  </si>
  <si>
    <t>Trademark license fees</t>
  </si>
  <si>
    <t>Secondment fees</t>
  </si>
  <si>
    <t>Remburesement of Expenses to IM ( Investment Manager)</t>
  </si>
  <si>
    <t>other expenses</t>
  </si>
  <si>
    <t>Less: Debt servicing:-</t>
  </si>
  <si>
    <t>Interest paid on external debt</t>
  </si>
  <si>
    <t>Net debt repayment excluding refinancing</t>
  </si>
  <si>
    <t>redemption of preference shares excluding refinancing</t>
  </si>
  <si>
    <t>debentures excluding refinancing</t>
  </si>
  <si>
    <t>any other such instrument excluding refinancing</t>
  </si>
  <si>
    <t>premiums excluding refinancing</t>
  </si>
  <si>
    <t>any other obligations excluding refinancing</t>
  </si>
  <si>
    <t>liabilities excluding refinancing</t>
  </si>
  <si>
    <t>Any other maybe deemed necessary by the Manager</t>
  </si>
  <si>
    <t>Add/Less: Net Lending to SPVs not included above, as may be deemed necessary by the Manager</t>
  </si>
  <si>
    <t xml:space="preserve">Less:  Amount invested in / advanced to any of the Portfolio Assets / SPV for service of debt or interest, as may be deemed necessary by the Manager </t>
  </si>
  <si>
    <t>Add/Less: Other adjustments, including but not limited to net changes in security deposits, working capital, Non cash item etc., as may be deemed necessary by the Manager</t>
  </si>
  <si>
    <t>Less: Income tax (net of refund &amp; TDS) and other taxes paid (as applicable) to the extent not already considered including provision for tax, if any</t>
  </si>
  <si>
    <t>Less: Any amount to be kept aside for DSRA, MMRA or any other reserve requirements as deemed necessary by the Investment Manager.</t>
  </si>
  <si>
    <t>Add: Cash released from DSRA/MMRA or any other reserve  as deemed necessary by the Investment Manager.</t>
  </si>
  <si>
    <t>Add/less: Any other item of non-cash expense / non-cash income (net of actual cash flows for these items)</t>
  </si>
  <si>
    <t>Add/ Less: any other item not incuded above ( Please Specify)</t>
  </si>
  <si>
    <t xml:space="preserve">Net Distributable Cash Flows </t>
  </si>
  <si>
    <t>SPVs</t>
  </si>
  <si>
    <t>Holdcos</t>
  </si>
  <si>
    <t>Capital Structure including Borrowing and Deferred Payments - SPVs/Holdcos</t>
  </si>
  <si>
    <t>Name of Holdcos/SVPs</t>
  </si>
  <si>
    <t>Category</t>
  </si>
  <si>
    <t>Particulars (Rs. in Crores whereever the amounts)</t>
  </si>
  <si>
    <t>Capital</t>
  </si>
  <si>
    <t>Name of other shareholder</t>
  </si>
  <si>
    <t xml:space="preserve">% of Holiding </t>
  </si>
  <si>
    <t>Other Equity</t>
  </si>
  <si>
    <t>Reserve &amp; Surplus</t>
  </si>
  <si>
    <t>Instruments entirely equity in nature</t>
  </si>
  <si>
    <t xml:space="preserve">Total Shareholders’ Funds </t>
  </si>
  <si>
    <t>Borrowings</t>
  </si>
  <si>
    <t>Long Term Borrowings</t>
  </si>
  <si>
    <t>Current Maturities of Long Term Borrowings</t>
  </si>
  <si>
    <t>Short term borrowings</t>
  </si>
  <si>
    <t>Deferred Payment Liability</t>
  </si>
  <si>
    <t>Interest Accrued and due</t>
  </si>
  <si>
    <t>Interest Accrued but not due</t>
  </si>
  <si>
    <t>Total Net Debt</t>
  </si>
  <si>
    <t>Total Capitalisation</t>
  </si>
  <si>
    <t>element</t>
  </si>
  <si>
    <t>label</t>
  </si>
  <si>
    <t>type</t>
  </si>
  <si>
    <t>periodType</t>
  </si>
  <si>
    <t>validation</t>
  </si>
  <si>
    <t>General Information</t>
  </si>
  <si>
    <t>ScripCode</t>
  </si>
  <si>
    <t>instant</t>
  </si>
  <si>
    <t xml:space="preserve">This is a mandatory field. Should be valid SCRIP CODE  as per BSE Scrip Code Format. </t>
  </si>
  <si>
    <t>xbrli:stringItemType</t>
  </si>
  <si>
    <t>MSEISymbol</t>
  </si>
  <si>
    <t>NameOfTheCompany</t>
  </si>
  <si>
    <t>in-capmkt-types:ClassOfSecurityREITSOrINVITS</t>
  </si>
  <si>
    <t>duration</t>
  </si>
  <si>
    <t>DateOfStartOfFinancialYear</t>
  </si>
  <si>
    <t>xbrli:dateItemType</t>
  </si>
  <si>
    <t>DateOfEndOfFinancialYear</t>
  </si>
  <si>
    <t>DateOfBoardMeetingWhenFinancialResultsWereApproved</t>
  </si>
  <si>
    <t>Date of board meeting when results were approved shall not be before the current financial year.</t>
  </si>
  <si>
    <t>DateOnWhichPriorIntimationOfTheMeetingForConsideringFinancialResultsWasInformedToTheExchange</t>
  </si>
  <si>
    <t>"Date on which prior intimation of the meeting for considering financial results was informed to the exchange" shall not be later than "Date of board meeting when results were approved" and shall not be before the current financial year.</t>
  </si>
  <si>
    <t>DescriptionOfPresentationCurrency</t>
  </si>
  <si>
    <t>LevelOfRoundingUsedInFinancialStatements</t>
  </si>
  <si>
    <t>in-capmkt-types:LevelOfRounding</t>
  </si>
  <si>
    <t>ReportingQuarter</t>
  </si>
  <si>
    <t>NatureOfReportStandaloneConsolidated</t>
  </si>
  <si>
    <t>WhetherResultsAreAuditedOrUnaudited</t>
  </si>
  <si>
    <t>DateOfStartOfBoardMeeting</t>
  </si>
  <si>
    <t>Start date of board meeting would be the next quarter then the reporting quarter (e.g. if results are submitted for June, quarter start time and end time would be from July) and shall not be earlier than Date of Prior Intimation.</t>
  </si>
  <si>
    <t>DateOfEndOfBoardMeeting</t>
  </si>
  <si>
    <t>End date of board meeting must be after or same day of start date of bord meeting and  would be the next quarter then the reporting quarter (e.g. if results are submitted for June, quarter start time and end time would be from July).</t>
  </si>
  <si>
    <t>StartTimeOfBoardMeeting</t>
  </si>
  <si>
    <t>xbrli:timeItemType</t>
  </si>
  <si>
    <t>EndTimeOfBoardMeeting</t>
  </si>
  <si>
    <t>"End time of board meeting" must be greater than "Start time of board meeting"</t>
  </si>
  <si>
    <t>Distribution</t>
  </si>
  <si>
    <t>Date of start of reporting period is a mandatory field ,Should be valid Format "dd-mm-YYYY"</t>
  </si>
  <si>
    <t>Date of end of reporting period is a mandatory field ,Should be valid Format "dd-mm-YYYY"</t>
  </si>
  <si>
    <t>RecordDate</t>
  </si>
  <si>
    <t>Record Date is a mandatory field ,Should be valid Format "dd-mm-YYYY"</t>
  </si>
  <si>
    <t>DateofBoardMeetingInWhichTheDistributionDeclared</t>
  </si>
  <si>
    <t>Date of Board Meeting in which the distribution declared is a mandatory field ,Should be valid Format "dd-mm-YYYY"</t>
  </si>
  <si>
    <t>xbrli:monetaryItemType</t>
  </si>
  <si>
    <t>Out of the total amount of distribution declared, the amount in the form of interest, less taxes, if any is a mandatory field</t>
  </si>
  <si>
    <t>Out of the total amount of distribution declared, the amount in the form of interest, less taxes, if any1</t>
  </si>
  <si>
    <t>xbrli:decimalItemType</t>
  </si>
  <si>
    <t>Out of the total amount of distribution declared, the amount in the form of dividend is a mandatory field</t>
  </si>
  <si>
    <t>Out of the total amount of distribution declared, the amount in the form of dividend1</t>
  </si>
  <si>
    <t>Out of the total amount of distribution declared, including amount in the form of amortization of SPV level debt is a mandatory field</t>
  </si>
  <si>
    <t>Out of the total amount of distribution declared, including amount in the form of amortization of SPV level debt1</t>
  </si>
  <si>
    <t>Out of the total amount of distribution declared, the amount in form of other income is a mandatory field is a mandatory field</t>
  </si>
  <si>
    <t>Out of the total amount of distribution declared, the amount in form of other income1</t>
  </si>
  <si>
    <t>DueDateOfThePaymentOfDistribution</t>
  </si>
  <si>
    <t xml:space="preserve">Due date of the payment of distribution is a mandatory field ,Should be valid Format "dd-mm-YYYY"   </t>
  </si>
  <si>
    <t>DateByWhichPaymentOfDistributionIsCompleted</t>
  </si>
  <si>
    <t>Date by which payment of distribution is completed is a mandatory field ,Should be valid Format "dd-mm-YYYY"</t>
  </si>
  <si>
    <t>Net Asset Value</t>
  </si>
  <si>
    <t>Assets is a mandatory field</t>
  </si>
  <si>
    <t>Liabilities is a mandatory field</t>
  </si>
  <si>
    <t>NetAssets</t>
  </si>
  <si>
    <t>Net Assets (A - B) is a mandatory field</t>
  </si>
  <si>
    <t>NumberOfUnitsOutstanding</t>
  </si>
  <si>
    <t>No. of Units Outstanding is a mandatory field</t>
  </si>
  <si>
    <t>NetAssetValue</t>
  </si>
  <si>
    <t>NAV (C/D) is a mandatory field</t>
  </si>
  <si>
    <t>Details of Assets Disposed Off</t>
  </si>
  <si>
    <t>Nature of the Asset is a mandatory field</t>
  </si>
  <si>
    <t>Date of Meeting of Board of the Manager / IM / Unitholders Approval is a mandatory field ,Should be valid Format "dd-mm-YYYY"</t>
  </si>
  <si>
    <t>Type of transaction (Outright sale / Joint Venture / Joint Development / Area Share / Others) is a mandatory field</t>
  </si>
  <si>
    <t>Date on which the Asset was disposed off is a mandatory field ,Should be valid Format "dd-mm-YYYY"</t>
  </si>
  <si>
    <t xml:space="preserve">Total consideration (Rs. in Crore) is a mandatory field </t>
  </si>
  <si>
    <t xml:space="preserve">Name of the Parties to whom the Asset was disposed off is a mandatory field   </t>
  </si>
  <si>
    <t>Whether it is a Related Party Transaction is a mandatory field</t>
  </si>
  <si>
    <t>Valuation of the Asset Disposed (Rs. In Crore) is a mandatory field</t>
  </si>
  <si>
    <t>Remarks is a mandatory field</t>
  </si>
  <si>
    <t>Details of Assets Acquired</t>
  </si>
  <si>
    <t>Details of Capital Raised</t>
  </si>
  <si>
    <t>Nature of issue (Right Issue/ Preferential Issue/ Institutional Placement) is a mandatory field</t>
  </si>
  <si>
    <t xml:space="preserve"> </t>
  </si>
  <si>
    <t xml:space="preserve">Date of Board Approval is a mandatory field ,Should be valid Format "dd-mm-YYYY" </t>
  </si>
  <si>
    <t>Date of Unitholders Approval is a mandatory field ,Should be valid Format "dd-mm-YYYY"</t>
  </si>
  <si>
    <t xml:space="preserve">Date of Issue is a mandatory field ,Should be valid Format "dd-mm-YYYY" </t>
  </si>
  <si>
    <t>Issue Size (Number of Units) is a mandatory field</t>
  </si>
  <si>
    <t>Issue Size (INR Crore)is a mandatory field</t>
  </si>
  <si>
    <t>Issue Price per Unit is a mandatory field</t>
  </si>
  <si>
    <t>Date of Allotment of Securities is a mandatory field ,Should be valid Format "dd-mm-YYYY"</t>
  </si>
  <si>
    <t>Details of Funds raised</t>
  </si>
  <si>
    <t>BorrowingsFromDomesticBanksFinancialInstitutionsMember</t>
  </si>
  <si>
    <t>nonnum:domainItemType</t>
  </si>
  <si>
    <t>NonConvertibleDebenturesMember</t>
  </si>
  <si>
    <t>NonConvertiblePreferenceSharesMember</t>
  </si>
  <si>
    <t>ECBsMember</t>
  </si>
  <si>
    <t>xbrli:integerItemType</t>
  </si>
  <si>
    <t>Borrowings from Domestic - Banks/ Financial Institutions (including term loans) is a mandatory field</t>
  </si>
  <si>
    <t>Non-Convertible Debentures (NCDs) is a mandatory field</t>
  </si>
  <si>
    <t>Non-Convertible Preference Shares (NCRPs) is a mandatory field</t>
  </si>
  <si>
    <t>ECBs is a mandatory field</t>
  </si>
  <si>
    <t>Aggregate consolidated borrowing along with interest payable if any is a mandatory field</t>
  </si>
  <si>
    <t>(Add) Deferred payment of InvIT/ REIT, HoldCo, SPV is a mandatory field</t>
  </si>
  <si>
    <t>(Less) Cash &amp; cash equivalent other than unclaimed dividend (including short term treasury investments) is a mandatory field</t>
  </si>
  <si>
    <t>Total (Aggregate consolidated borrowing) is a mandatory field</t>
  </si>
  <si>
    <t>Value of InvIT/ REIT Assets (Gross Asset Value) is a mandatory field</t>
  </si>
  <si>
    <t>% proportion of A in comparison to B is a mandatory field</t>
  </si>
  <si>
    <t>InviT / HoldCo / SPVs is a mandatory field</t>
  </si>
  <si>
    <t>ISIN is a mandatory field</t>
  </si>
  <si>
    <t>Amount raised (INR crore) is a mandatory field</t>
  </si>
  <si>
    <t>is a mandatory field</t>
  </si>
  <si>
    <t>Interest payment frequency is a mandatory field</t>
  </si>
  <si>
    <t>Secured/unsecured is a mandatory field</t>
  </si>
  <si>
    <t xml:space="preserve"> is a mandatory field</t>
  </si>
  <si>
    <t>Assets on which charge is created, if any is a mandatory field</t>
  </si>
  <si>
    <t>Tenure of Loan is a mandatory field</t>
  </si>
  <si>
    <t>Net Distributable Cash Flow</t>
  </si>
  <si>
    <t>Capital and Debt Structure_SPVs</t>
  </si>
  <si>
    <t>held  by InvITs / REITs, directly or indirectly</t>
  </si>
  <si>
    <t>held by Other shareholders</t>
  </si>
  <si>
    <t>051051051</t>
  </si>
  <si>
    <t>100115102115100102115100102</t>
  </si>
  <si>
    <t>077121032110097109101032105115032097114097115</t>
  </si>
  <si>
    <t>087104101114101032097114101032117</t>
  </si>
  <si>
    <t>100100102115100115100115115100115100</t>
  </si>
  <si>
    <t>100100102115100115100115</t>
  </si>
  <si>
    <t>100100102</t>
  </si>
  <si>
    <t>100102100102</t>
  </si>
  <si>
    <t>100102100102100102100100102100102</t>
  </si>
  <si>
    <t>087104101114101032097114101032121013010100102100100102100</t>
  </si>
  <si>
    <t>087104101114101032097114101032121013010100102100</t>
  </si>
  <si>
    <t>100102100102100102100</t>
  </si>
  <si>
    <t>049</t>
  </si>
  <si>
    <t>102100102100102</t>
  </si>
  <si>
    <t>100102100102100</t>
  </si>
  <si>
    <t>087104101114101032097114101032121013010</t>
  </si>
  <si>
    <t>Start date of board meeting</t>
  </si>
  <si>
    <t>End date of board meeting</t>
  </si>
  <si>
    <t>OutstandingFundsRaisedThroughDebtConsolidated</t>
  </si>
  <si>
    <t>RaisedDuringThePeriodFundsRaisedThroughDebtConsolidated</t>
  </si>
  <si>
    <t>RepaidDuringThePeriodFundsRaisedThroughDebtConsolidated</t>
  </si>
  <si>
    <t>DisclosureOfNotesOnFinancialResultsExplanatoryTextBlock</t>
  </si>
  <si>
    <t>Disclosure of notes on financial results</t>
  </si>
  <si>
    <t>nonnum:textBlockItemType</t>
  </si>
  <si>
    <t>A1</t>
  </si>
  <si>
    <t>DetailsOfFundsRaisedThroughDebtConsolidatedBasisExplanatoryTextBlock</t>
  </si>
  <si>
    <t>num:percentItemType</t>
  </si>
  <si>
    <t>AggregateConsolidatedBorrowingAlongWithInterestPayable</t>
  </si>
  <si>
    <t>DeferredPaymentOfREITINVITHoldCoSPV</t>
  </si>
  <si>
    <t>CashAndCashEquivalentOtherThanUnclaimedDividendIncludingShortTermTreasuryInvestments</t>
  </si>
  <si>
    <t>ValueOfREITINVITAssetsGrossAssetValue</t>
  </si>
  <si>
    <t>PercentageOfProportionOfAInComparisonToB</t>
  </si>
  <si>
    <t>A2</t>
  </si>
  <si>
    <t>DetailsOfAggregateConsolidatedBorrowingAsPerSEBIREITINVITRegulationsExplanatoryTextBlock</t>
  </si>
  <si>
    <t>100115102115100102115100102100102100102100</t>
  </si>
  <si>
    <t>NameOFINVITOrHoldCoOrSPVs</t>
  </si>
  <si>
    <t>in-capmkt-types:ISINNumber</t>
  </si>
  <si>
    <t>AmountRaisedByNCDs</t>
  </si>
  <si>
    <t>CouponRate</t>
  </si>
  <si>
    <t>InterestPaymentFrequency</t>
  </si>
  <si>
    <t>TypeOfNCDs</t>
  </si>
  <si>
    <t>in-capmkt-types:TypeOfNCDs</t>
  </si>
  <si>
    <t>TenureOfNCDs</t>
  </si>
  <si>
    <t>AssetsOnWhichChargeIsCreatedByNCDs</t>
  </si>
  <si>
    <t>NameOfTheLenderOfLoanOrECBs</t>
  </si>
  <si>
    <t>AmountRaisedByLoanOrECB</t>
  </si>
  <si>
    <t>AssetsOnWhichChargeIsCreatedByLoanOrECB</t>
  </si>
  <si>
    <t>TenureOfLoanOrECB</t>
  </si>
  <si>
    <t>NameOfTheLenderOfPreferenceShare</t>
  </si>
  <si>
    <t>AmountRaisedByPreferenceShare</t>
  </si>
  <si>
    <t>AssetsOnWhichChargeIsCreatedByPreferenceShare</t>
  </si>
  <si>
    <t>TenureOfPreferenceShare</t>
  </si>
  <si>
    <t>NatureOfIssue</t>
  </si>
  <si>
    <t>DateOfBoardApproval</t>
  </si>
  <si>
    <t>DateOfUnitholdersApproval</t>
  </si>
  <si>
    <t>DateOfIssue</t>
  </si>
  <si>
    <t>UnitsOfIssueSize</t>
  </si>
  <si>
    <t>AmountOfIssueSize</t>
  </si>
  <si>
    <t>IssuePricePerUnit</t>
  </si>
  <si>
    <t>DateOfAllotmentOfSecurities</t>
  </si>
  <si>
    <t>DetailsOfListingOfSecurites</t>
  </si>
  <si>
    <t>in-capmkt-types:NatureOfIssue</t>
  </si>
  <si>
    <t>DetailsOfBorrowingOrDebtRaisedDuringThePeriodExplanatoryTextBlock</t>
  </si>
  <si>
    <t>A3</t>
  </si>
  <si>
    <t>051051051100100102100102100</t>
  </si>
  <si>
    <t>A4</t>
  </si>
  <si>
    <t>DetailsOfCapitalRaisedDuringThePeriodExplanatoryTextBlock</t>
  </si>
  <si>
    <t>080097114097115032087104101114101032065082101032117</t>
  </si>
  <si>
    <t>NatureOfTheAssetAcquired</t>
  </si>
  <si>
    <t>DateOfMeetingOfBoardOfTheManagerOrIMOrUnitholdersApprovalForAssetsAccquired</t>
  </si>
  <si>
    <t>TypeOfTransactionOfTheAssetAcquired</t>
  </si>
  <si>
    <t>DateOnWhichTheAssetWasAcquired</t>
  </si>
  <si>
    <t>TotalConsiderationOfTheAssetAcquired</t>
  </si>
  <si>
    <t>NameOfThePartiesFromWhomTheAssetWasAcquired</t>
  </si>
  <si>
    <t>WhetherItIsARelatedPartyTransactionOfTheAssetAcquired</t>
  </si>
  <si>
    <t>ValuationOfTheAssetAquired</t>
  </si>
  <si>
    <t>RemarksOfTheAssetAcquired</t>
  </si>
  <si>
    <t>in-capmkt-types:TransactionOfTheAsset</t>
  </si>
  <si>
    <t>xbrli:booleanItemType</t>
  </si>
  <si>
    <t>A5</t>
  </si>
  <si>
    <t>DetailsOfAssetsAcquiredDuringTheReportingPeriodExplanatoryTextBlock</t>
  </si>
  <si>
    <t>NatureOfTheAssetDisposedOff</t>
  </si>
  <si>
    <t>DateOfMeetingOfBoardOfTheManagerOrImOrUnitholdersApprovalForAssetsDisposedOff</t>
  </si>
  <si>
    <t>TypeOfTransactionOfTheAssetDisposedOff</t>
  </si>
  <si>
    <t>DateOnWhichTheAssetWasDisposedOff</t>
  </si>
  <si>
    <t>TotalConsiderationOfTheAssetDisposedOff</t>
  </si>
  <si>
    <t>NameOfThePartiesToWhomTheAssetWasDisposedOff</t>
  </si>
  <si>
    <t>WhetherItIsARelatedPartyTransactionOfTheAssetDisposedOff</t>
  </si>
  <si>
    <t>ValuationOfTheAssetDisposed</t>
  </si>
  <si>
    <t>RemarksOfTheAssetDisposedOff</t>
  </si>
  <si>
    <t>A6</t>
  </si>
  <si>
    <t>DetailsOfAssetsDisposedOffDuringTheReportingPeriodExplanatoryTextBlock</t>
  </si>
  <si>
    <t>InterestReceivedFromSPVsAndInvestmentEntity</t>
  </si>
  <si>
    <t>DividendsNetOfApplicableTaxesReceivedFromSPVsAndInvestmentEntity</t>
  </si>
  <si>
    <t>RepaymentOfShareholderDebtREITINVITFundingNetOfAddionalDebtExtendedToTheSPVs</t>
  </si>
  <si>
    <t>ProceedsFromBuyBacksCapitalReductionNetOfApplicableTaxes</t>
  </si>
  <si>
    <t>RedemptionProceedsFromPreferenceSharesOrAnyOtherSimilarInstrument</t>
  </si>
  <si>
    <t>OtherReceivedFromSPVsAndInvestmentEntity</t>
  </si>
  <si>
    <t>ApplicableCapitalGainsAndOtherTaxesFromSaleOfInvestmentsAssetsOrSaleOfSharesOfSPVs</t>
  </si>
  <si>
    <t>RelatedDebtsSettledOrDueToBeSettledFromSaleOfInvestmentsAssetsOrSaleOfSharesOfSPVs</t>
  </si>
  <si>
    <t>DirectlyAttributableTransactionCostsFromSaleOfInvestmentsAssetsOrSaleOfSharesOfSPVs</t>
  </si>
  <si>
    <t>ProceedsReinvestedOrPlannedToBeReinvestedAsPerRegulation1816DOfTheReitRegulationsOrRegulation187AOfINVITRegulations</t>
  </si>
  <si>
    <t>AcquisitionFromSaleOfInvestmentsAssetsOrSaleOfSharesOfSPVs</t>
  </si>
  <si>
    <t>InvestmentsAsPermittedUnderTheREITINVITRegulationsFromSaleOfInvestmentsAssetsOrSaleOfSharesOfSPVs</t>
  </si>
  <si>
    <t>LendingToSPVsAsMayBeDeemedNecessaryByTheManager</t>
  </si>
  <si>
    <t>OtherFromSaleOfInvestmentsAssetsOrSaleOfSharesOfSPVs</t>
  </si>
  <si>
    <t>ApplicableCapitalGainsAndOtherTaxesFromFundRaisedThroughExternalLendersOrBankers</t>
  </si>
  <si>
    <t>RelatedDebtsSettledOrDueToBeSettledFromSaleProceedsFromFundRaisedThroughExternalLendersOrBankers</t>
  </si>
  <si>
    <t>DirectlyAttributableTransactionCostsFromFundRaisedThroughExternalLendersOrBankers</t>
  </si>
  <si>
    <t>ProceedsReinvestedOrPlannedToBeReinvestedAsPerRegulation1816DOfTheREITINVITRegulations</t>
  </si>
  <si>
    <t>AcquisitionFromFundRaisedThroughExternalLendersOrBankers</t>
  </si>
  <si>
    <t>InvestmentsAsPermittedUnderTheREITINVITRegulationsFromFundRaisedThroughExternalLendersOrBankers</t>
  </si>
  <si>
    <t>OtherFromFundRaisedThroughExternalLendersOrBankers</t>
  </si>
  <si>
    <t>AmountInvestedInFixedDepositsOrMutualFundsOrAnyOtherLiquidInstrumentsByTheTrust</t>
  </si>
  <si>
    <t>OtherIncomeReceivedOrReceivableByOfTheTrustAndNotCapturedHerein</t>
  </si>
  <si>
    <t>OtherExpenseAccruingOrPaidAtTheTrustLevelAndNotCapturedHerein</t>
  </si>
  <si>
    <t>ExpenseInTheNatureOfCapitalExpenditureOrRepairAtREITINVITLevelOrPortifolioAsset</t>
  </si>
  <si>
    <t>TrusteeFees</t>
  </si>
  <si>
    <t>InvestmentManagerFees</t>
  </si>
  <si>
    <t>ProjectManagerFees</t>
  </si>
  <si>
    <t>REITINVITManagementFees</t>
  </si>
  <si>
    <t>ValuerFees</t>
  </si>
  <si>
    <t>AuditorFees</t>
  </si>
  <si>
    <t>RatingFees</t>
  </si>
  <si>
    <t>ListingFees</t>
  </si>
  <si>
    <t>LegalAndProfessionalFees</t>
  </si>
  <si>
    <t>TrademarkLicenseFees</t>
  </si>
  <si>
    <t>SecondmentFees</t>
  </si>
  <si>
    <t>RemburesementOfExpensesToIM</t>
  </si>
  <si>
    <t>OtherExpenses</t>
  </si>
  <si>
    <t>InterestPaidOnExternalDebt</t>
  </si>
  <si>
    <t>RedemptionOfPreferenceSharesExcludingRefinancing</t>
  </si>
  <si>
    <t>DebenturesExcludingRefinancing</t>
  </si>
  <si>
    <t>OtherSuchInstrumentExcludingRefinancing</t>
  </si>
  <si>
    <t>PremiumsExcludingRefinancing</t>
  </si>
  <si>
    <t>OtherObligationsExcludingRefinancing</t>
  </si>
  <si>
    <t>LiabilitiesExcludingRefinancing</t>
  </si>
  <si>
    <t>OtherMaybeDeemedNecessaryByTheManager</t>
  </si>
  <si>
    <t>NetLendingToSPVsNotIncludedAboveAsMayBeDeemedNecessaryByTheManager</t>
  </si>
  <si>
    <t>AmountInvestedInAdvancedToAnyOfThePortfolioAssetsOrSPVForServiceOfDebtOrInterestAsMayBeDeemedNecessaryByTheManager</t>
  </si>
  <si>
    <t>OtherAdjustmentsIncludingButNotLimitedToNetChangesInSecurityDepositsOrWorkingCapitalOrNonCashItemEtcAsMayBeDeemedNecessaryByTheManager</t>
  </si>
  <si>
    <t>IncomeTaxNetOfRefundAndTDSAndOtherTaxesPaidAsApplicableToTheExtentNotAlreadyConsideredIncludingProvisionForTax</t>
  </si>
  <si>
    <t>AmountToBeKeptAsideForDSRAOrMMRAOrAnyOtherReserveRequirementsAsDeemedNecessaryByTheInvestmentManager</t>
  </si>
  <si>
    <t>CashReleasedFromDSRAOrMMRAOrAnyOtherReserveAsDeemedNecessaryByTheInvestmentManager</t>
  </si>
  <si>
    <t>OtherItemOfNonCashExpenseOrNonCashIncomeNetOfActualCashFlowsForTheseItems</t>
  </si>
  <si>
    <t>OtherItemNotIncudedAbove</t>
  </si>
  <si>
    <t>NetDistributableCashFlows</t>
  </si>
  <si>
    <t>NameofHoldcosOrSVPs</t>
  </si>
  <si>
    <t>CapitalHeldByOtherShareholders</t>
  </si>
  <si>
    <t>CapitalHeldByREITSINVITSDirectlyOrIndirectly</t>
  </si>
  <si>
    <t>OtherEquity</t>
  </si>
  <si>
    <t>ReserveAndSurplus</t>
  </si>
  <si>
    <t>Instrumentsentirelyequityinnature</t>
  </si>
  <si>
    <t>LongTermBorrowings</t>
  </si>
  <si>
    <t>CurrentMaturitiesofLongTermBorrowings</t>
  </si>
  <si>
    <t>Shorttermborrowings</t>
  </si>
  <si>
    <t>DeferredPaymentLiability</t>
  </si>
  <si>
    <t>InterestAccruedanddue</t>
  </si>
  <si>
    <t>InterestAccruedbutnotdue</t>
  </si>
  <si>
    <t>LoansfromREITINVITsoranyotherinterSPVBorrowings</t>
  </si>
  <si>
    <t>AmountHeld</t>
  </si>
  <si>
    <t>NameOfOtherShareholder</t>
  </si>
  <si>
    <t>PercentageOfHoliding</t>
  </si>
  <si>
    <t>AmountHeldByOtherShareholders</t>
  </si>
  <si>
    <t>Total Shareholders’ Funds</t>
  </si>
  <si>
    <t>NameofSVPs</t>
  </si>
  <si>
    <t>NSESymbol</t>
  </si>
  <si>
    <t>ClassOfSecurityREITSOrINVITS</t>
  </si>
  <si>
    <t>Secured</t>
  </si>
  <si>
    <t>Name of  the lender</t>
  </si>
  <si>
    <t>Tenure  of Loan</t>
  </si>
  <si>
    <t>Specify  any Other</t>
  </si>
  <si>
    <t>Specify   any Other</t>
  </si>
  <si>
    <t>Any  acquisition</t>
  </si>
  <si>
    <t>Date  of Meeting of Board of the Manager / IM / Unitholders Approval</t>
  </si>
  <si>
    <t>Whether  it is a Related Party Transaction</t>
  </si>
  <si>
    <t xml:space="preserve"> ISIN</t>
  </si>
  <si>
    <t>Date  of start of reporting period</t>
  </si>
  <si>
    <t>Date  of end of reporting period</t>
  </si>
  <si>
    <t>Total (1)</t>
  </si>
  <si>
    <t>Total (2)</t>
  </si>
  <si>
    <t>Total (3)</t>
  </si>
  <si>
    <t>Total (9)</t>
  </si>
  <si>
    <t>Total (10)</t>
  </si>
  <si>
    <t>Total Net debt repayment excluding refinancing</t>
  </si>
  <si>
    <t>ProceedsFromSaleOfInvestmentsOrAssetsOrSaleOfSharesOfSPVsNotDistributedPursuantToAnEarlierPlanToReInvestAsPerRegulation1816DOfTheREITINVITRegulationsIfSuchProceedsAreNotIntendedToBeInvestedSubsequently</t>
  </si>
  <si>
    <t xml:space="preserve">Delete Record </t>
  </si>
  <si>
    <t xml:space="preserve"> Add: Proceeds from sale of investments, assets or sale of shares of SPVs not distributed pursuant to an earlier plan to re-invest as per Regulation 18(16)(d) of the REIT / InvIT Regulations, if such proceeds are not intended to be invested subsequently</t>
  </si>
  <si>
    <t>SPVs held through HoldCos</t>
  </si>
  <si>
    <t>Name  of Holdcos</t>
  </si>
  <si>
    <t>Name  of SVPs</t>
  </si>
  <si>
    <t>held   by InvITs / REITs, directly or indirectly</t>
  </si>
  <si>
    <t xml:space="preserve">held  by Other shareholders </t>
  </si>
  <si>
    <t>held  by Other shareholders</t>
  </si>
  <si>
    <t>Other  Equity</t>
  </si>
  <si>
    <t>Reserve &amp;  Surplus</t>
  </si>
  <si>
    <t>Instruments  entirely equity in nature</t>
  </si>
  <si>
    <t xml:space="preserve">Total  Shareholders’ Funds </t>
  </si>
  <si>
    <t>Total  Shareholders’ Funds</t>
  </si>
  <si>
    <t>Long  Term Borrowings</t>
  </si>
  <si>
    <t>Current  Maturities of Long Term Borrowings</t>
  </si>
  <si>
    <t>Short  term borrowings</t>
  </si>
  <si>
    <t>Deferred  Payment Liability</t>
  </si>
  <si>
    <t>Interest  Accrued and due</t>
  </si>
  <si>
    <t>Interest  Accrued but not due</t>
  </si>
  <si>
    <t>Total  Net Debt</t>
  </si>
  <si>
    <t>Total  Capitalisation</t>
  </si>
  <si>
    <t>Name  of other shareholder</t>
  </si>
  <si>
    <t xml:space="preserve">%  of Holiding </t>
  </si>
  <si>
    <t>Amount Held</t>
  </si>
  <si>
    <t>NameofHoldcos</t>
  </si>
  <si>
    <t xml:space="preserve">Assets  on which charge is created, if any </t>
  </si>
  <si>
    <t xml:space="preserve">Assets   on which charge is created, if any  </t>
  </si>
  <si>
    <t>Nature  of the Asset</t>
  </si>
  <si>
    <t xml:space="preserve">Nature  of the Asset </t>
  </si>
  <si>
    <t xml:space="preserve">Remark Note </t>
  </si>
  <si>
    <t>in-capmkt-types:ScripCode</t>
  </si>
  <si>
    <t>CashFlowsReceivedFromSPVsAndInvestmentEntity</t>
  </si>
  <si>
    <t>ProceedsFromSaleOfInvestmentsAssetsOrSaleOfSharesOfSPVsLiquidationOfAnyOtherAssetOrInvestmentIncludingCashEquivalentsOrAnyFormOfFundRaiseAtREITINVITLevelAdjusted</t>
  </si>
  <si>
    <t>ProceedsFromFundRaisedThroughExternalLendersOrBankersByIssueOfUnitsOrNCDOrPreferenceShareCapitalAtREITINVITLevelAdjusted</t>
  </si>
  <si>
    <t>Fees</t>
  </si>
  <si>
    <t>NetDebtRepaymentExcludingRefinancing</t>
  </si>
  <si>
    <t>DebtServicing</t>
  </si>
  <si>
    <t>ShareholdersFunds</t>
  </si>
  <si>
    <t>NetDebt</t>
  </si>
  <si>
    <t>Capitalisation</t>
  </si>
  <si>
    <t>AggregateConsolidatedBorrowing</t>
  </si>
  <si>
    <t>Total Capital</t>
  </si>
  <si>
    <t>Total  Capital</t>
  </si>
  <si>
    <t xml:space="preserve">(A) </t>
  </si>
  <si>
    <t>For HoldCos and Directly held SPVs</t>
  </si>
  <si>
    <t>(1)</t>
  </si>
  <si>
    <t>(2)</t>
  </si>
  <si>
    <t>InviT</t>
  </si>
  <si>
    <t>HoldCo</t>
  </si>
  <si>
    <t>a</t>
  </si>
  <si>
    <t>b</t>
  </si>
  <si>
    <t>c</t>
  </si>
  <si>
    <t>d</t>
  </si>
  <si>
    <t>e</t>
  </si>
  <si>
    <t>Shareholders’ Funds</t>
  </si>
  <si>
    <t xml:space="preserve">(B) </t>
  </si>
  <si>
    <t>102103100102103</t>
  </si>
  <si>
    <t>115102115100102</t>
  </si>
  <si>
    <t>100102100103100102</t>
  </si>
  <si>
    <t>(B)For SVPs held through HoldCos</t>
  </si>
  <si>
    <t>For SVPs held through HoldCos</t>
  </si>
  <si>
    <t xml:space="preserve">                                      XBRL Excel Utility</t>
  </si>
  <si>
    <t>1.</t>
  </si>
  <si>
    <t>Overview</t>
  </si>
  <si>
    <t>2.</t>
  </si>
  <si>
    <t>Before you begin</t>
  </si>
  <si>
    <t>3.</t>
  </si>
  <si>
    <t>Index</t>
  </si>
  <si>
    <t>4.</t>
  </si>
  <si>
    <t>5.</t>
  </si>
  <si>
    <t>Fill up the data in excel utility</t>
  </si>
  <si>
    <t>1. Overview</t>
  </si>
  <si>
    <t>XBRL filling consists of two processes. Firstly generation of XBRL/XML file and then upload the generated XBRL/XML file to BSE Listing Center Website (www.listing.bseindia.com).</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</si>
  <si>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</si>
  <si>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</si>
  <si>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</si>
  <si>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</si>
  <si>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</si>
  <si>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</si>
  <si>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</si>
  <si>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General Info</t>
  </si>
  <si>
    <r>
      <t xml:space="preserve">I.  Fill up the data: </t>
    </r>
    <r>
      <rPr>
        <sz val="10"/>
        <color indexed="8"/>
        <rFont val="Verdana"/>
        <family val="2"/>
      </rPr>
      <t xml:space="preserve">Navigate to each field of every section in the sheet to provide applicable data in correct format.  (Formats will get reflected while filling data.)  
   - Use paste special command to paste data from other sheet.
</t>
    </r>
  </si>
  <si>
    <r>
      <rPr>
        <b/>
        <sz val="10"/>
        <color indexed="8"/>
        <rFont val="Verdana"/>
        <family val="2"/>
      </rPr>
      <t>II. Validating Sheets:</t>
    </r>
    <r>
      <rPr>
        <sz val="10"/>
        <color indexed="8"/>
        <rFont val="Verdana"/>
        <family val="2"/>
      </rPr>
      <t xml:space="preserve">  Click on the ''Validate "  button to ensure that the sheet has been properly filled and also data has been furnished in proper format. If there are some errors on the sheet, excel utility will prompt you about the same.</t>
    </r>
  </si>
  <si>
    <r>
      <rPr>
        <b/>
        <sz val="10"/>
        <color indexed="8"/>
        <rFont val="Verdana"/>
        <family val="2"/>
      </rPr>
      <t>III. Validate All Sheets:</t>
    </r>
    <r>
      <rPr>
        <sz val="10"/>
        <color indexed="8"/>
        <rFont val="Verdana"/>
        <family val="2"/>
      </rPr>
      <t xml:space="preserve">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</si>
  <si>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t xml:space="preserve">Excel Utility will not allow you to generate XBRL/XML until you rectify all errors. </t>
  </si>
  <si>
    <r>
      <t xml:space="preserve">IV. Generate XML :   </t>
    </r>
    <r>
      <rPr>
        <sz val="10"/>
        <rFont val="Verdana"/>
        <family val="2"/>
      </rPr>
      <t xml:space="preserve">Excel Utility will not allow you to generate XBRL/XML unless successful validation of all sheet is completed. Now click on 'Generate XML'' to generate XBRL/XML file. 
    - Save the XBRL/XML file in your desired folder in local system. </t>
    </r>
  </si>
  <si>
    <r>
      <rPr>
        <b/>
        <sz val="10"/>
        <rFont val="Verdana"/>
        <family val="2"/>
      </rPr>
      <t>V. Generate Report :</t>
    </r>
    <r>
      <rPr>
        <sz val="10"/>
        <rFont val="Verdana"/>
        <family val="2"/>
      </rPr>
      <t xml:space="preserve">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r>
  </si>
  <si>
    <r>
      <rPr>
        <b/>
        <sz val="10"/>
        <rFont val="Verdana"/>
        <family val="2"/>
      </rPr>
      <t xml:space="preserve">VI. Upload XML file to BSE Listing Center: </t>
    </r>
    <r>
      <rPr>
        <sz val="10"/>
        <rFont val="Verdana"/>
        <family val="2"/>
      </rPr>
      <t xml:space="preserve">For uploading the XBRL/XML file generated through  Utility, login to BSE Listing Center and upload generated xml file. On Upload screen provide the required information and browse to select XML file and submit the XML.
</t>
    </r>
  </si>
  <si>
    <t>5. Fill up the data in excel utility</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</si>
  <si>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</si>
  <si>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</si>
  <si>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</si>
  <si>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</si>
  <si>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 .</t>
  </si>
  <si>
    <t xml:space="preserve">6. Select data from "Dropdown list" wherever applicable. </t>
  </si>
  <si>
    <t xml:space="preserve">7. Adding Notes:  Click on "Add Notes" button to add notes </t>
  </si>
  <si>
    <t>Details of Funds raised through Debt - Consolidated basis</t>
  </si>
  <si>
    <t>Details of Assets acquired during the reporting  period</t>
  </si>
  <si>
    <t>This is a General NDCF Definition</t>
  </si>
  <si>
    <t>Outright Sale</t>
  </si>
  <si>
    <t>100115102097115100102</t>
  </si>
  <si>
    <t>102097115100102097115100102</t>
  </si>
  <si>
    <t>100115102115100102115100102100102100102100100102100115102</t>
  </si>
  <si>
    <t>050</t>
  </si>
  <si>
    <t>052</t>
  </si>
  <si>
    <t>053</t>
  </si>
  <si>
    <t>054</t>
  </si>
  <si>
    <t>051</t>
  </si>
  <si>
    <t>053053</t>
  </si>
  <si>
    <t>049103102102</t>
  </si>
  <si>
    <t>050100102103100102103</t>
  </si>
  <si>
    <t>051102103102103100</t>
  </si>
  <si>
    <t>051102103102103100097100115102097100102</t>
  </si>
  <si>
    <t>051102103102103100097115100102097115100102097115100102097115100102</t>
  </si>
  <si>
    <t>051102103102103100115100102100102115100</t>
  </si>
  <si>
    <t>051102103102103100120099100120</t>
  </si>
  <si>
    <t>Details of Borrowing / Debt (Raised during the period)</t>
  </si>
  <si>
    <t>097115100097115100097115</t>
  </si>
  <si>
    <t>113119101</t>
  </si>
  <si>
    <t>097100102097115100102097115100102097115100102097115100102097115100102</t>
  </si>
  <si>
    <t>077121110097109101032105115032112097114097115</t>
  </si>
  <si>
    <t>051102102102</t>
  </si>
  <si>
    <t>049115102100103115100102103</t>
  </si>
  <si>
    <t>100102115100</t>
  </si>
  <si>
    <t>102103100102103100</t>
  </si>
  <si>
    <t>102103100102103100102100103100102103</t>
  </si>
  <si>
    <t>102103100102103100102100103100102103102100103102115100102</t>
  </si>
  <si>
    <t>102103100102103100102100103100102103102100103102115100102097100102097100102097115100</t>
  </si>
  <si>
    <t>116121</t>
  </si>
  <si>
    <t>Details of funds raised through debt consolidated basis explanatory</t>
  </si>
  <si>
    <t>Details of assets acquired during the reporting period explanatory</t>
  </si>
  <si>
    <t>Details of assets disposed off during the reporting period explanatory</t>
  </si>
  <si>
    <t>Details of capital raised during the period explanatory</t>
  </si>
  <si>
    <t>Unsecured</t>
  </si>
  <si>
    <t>Reporting only in "Crores" Allowed</t>
  </si>
  <si>
    <t>Level of rounding to be used in financial results</t>
  </si>
  <si>
    <t>Total amount (in Rs. Crore)</t>
  </si>
  <si>
    <t>Amount (Rs. In Crore)</t>
  </si>
  <si>
    <t>Details of Funds raised through Debt - Consolidated basis (Rs in Crore)</t>
  </si>
  <si>
    <t>Total consideration (Rs. in Crore)</t>
  </si>
  <si>
    <t>Valuation of the Asset Acquired (Rs. In Crore)</t>
  </si>
  <si>
    <t>Issue Size (INR Crore)</t>
  </si>
  <si>
    <t>Amount raised (INR Crore)</t>
  </si>
  <si>
    <t>Amount (INR Crore)</t>
  </si>
  <si>
    <t>Rs. In Crore</t>
  </si>
  <si>
    <t>Class of security - REITs or InvITs</t>
  </si>
  <si>
    <t>InvIT / HoldCo / SPVs</t>
  </si>
  <si>
    <t>Proceeds reinvested or planned to be reinvested as per Regulation 18(16)(d) of the InvIT/REIT Regulations</t>
  </si>
  <si>
    <t>REIT / InvIT Management Fees</t>
  </si>
  <si>
    <t xml:space="preserve">This is a General NDCF Definition. Each REIT/ InvIT to use the definition adopted by them pursuant to guidance under the relevant SEBI circular </t>
  </si>
  <si>
    <t>Steps for Filing - Financial Results - REITs or InvITs</t>
  </si>
  <si>
    <t>The excel utility can be used for creating the XBRL/XML file for efiling of Financial Results - REITs or InvITs.</t>
  </si>
  <si>
    <t>4. Steps for Filing - Financial Results - REITs or InvITs</t>
  </si>
  <si>
    <t>Details of external funds raised by the REIT/InvIT, its Holdcos and SPVs</t>
  </si>
  <si>
    <t>Details of aggregate consolidated borrowing as per SEBI REIT/InvIT regulations explanatory</t>
  </si>
  <si>
    <t>REIT / InvIT - Standalone NDCF only</t>
  </si>
  <si>
    <t>Details of general information about REITs or InvITs</t>
  </si>
  <si>
    <t>General information about REITs or InvITs</t>
  </si>
  <si>
    <t>Loans from REITs / InvITs or any other inter SPV Borrowings</t>
  </si>
  <si>
    <t>Loans  from REITs / InvITs or any other inter SPV Borrowings</t>
  </si>
  <si>
    <t xml:space="preserve">Amount  (INR Crore) </t>
  </si>
  <si>
    <t>Total  consideration (Rs. in Crore)</t>
  </si>
  <si>
    <t>Valuation of the Asset Acquired  (Rs. In Crore)</t>
  </si>
  <si>
    <t/>
  </si>
  <si>
    <t>REITs</t>
  </si>
  <si>
    <t>InvITs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</si>
</sst>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 #,##0.00_ ;_ * \-#,##0.00_ ;_ * &quot;-&quot;??_ ;_ @_ "/>
    <numFmt numFmtId="165" formatCode="dd\-mm\-yyyy"/>
    <numFmt numFmtId="166" formatCode="0.000"/>
  </numFmts>
  <fonts count="36">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name val="Calibri"/>
      <family val="2"/>
      <scheme val="minor"/>
    </font>
    <font>
      <sz val="11"/>
      <name val="Calibri"/>
      <family val="2"/>
      <scheme val="minor"/>
    </font>
    <font>
      <b/>
      <sz val="11"/>
      <name val="Calibri"/>
      <family val="2"/>
      <scheme val="minor"/>
    </font>
    <font>
      <sz val="10"/>
      <color theme="1"/>
      <name val="Times New Roman"/>
      <family val="1"/>
    </font>
    <font>
      <b/>
      <sz val="10"/>
      <color theme="1"/>
      <name val="Times New Roman"/>
      <family val="1"/>
    </font>
    <font>
      <b/>
      <i/>
      <sz val="10"/>
      <color rgb="FFFF0000"/>
      <name val="Times New Roman"/>
      <family val="1"/>
    </font>
    <font>
      <u/>
      <sz val="11"/>
      <color theme="10"/>
      <name val="Calibri"/>
      <family val="2"/>
    </font>
    <font>
      <b/>
      <u/>
      <sz val="11"/>
      <color theme="10"/>
      <name val="Calibri"/>
      <family val="2"/>
    </font>
    <font>
      <b/>
      <sz val="14"/>
      <color rgb="FFFFFFFF"/>
      <name val="Calibri"/>
      <family val="2"/>
    </font>
    <font>
      <sz val="11"/>
      <color theme="1"/>
      <name val="Calibri"/>
      <family val="2"/>
    </font>
    <font>
      <sz val="11"/>
      <color theme="0"/>
      <name val="Calibri"/>
      <family val="2"/>
      <scheme val="minor"/>
    </font>
    <font>
      <shadow/>
      <sz val="14"/>
      <color theme="0"/>
      <name val="Calibri"/>
      <family val="2"/>
      <scheme val="minor"/>
    </font>
    <font>
      <b/>
      <sz val="11"/>
      <color theme="1"/>
      <name val="Calibri"/>
      <family val="2"/>
    </font>
    <font>
      <b/>
      <sz val="12"/>
      <color theme="1"/>
      <name val="Calibri"/>
      <family val="2"/>
      <scheme val="minor"/>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b/>
      <sz val="10"/>
      <color indexed="8"/>
      <name val="Verdana"/>
      <family val="2"/>
    </font>
    <font>
      <sz val="10"/>
      <color indexed="8"/>
      <name val="Verdana"/>
      <family val="2"/>
    </font>
    <font>
      <b/>
      <sz val="10"/>
      <name val="Verdana"/>
      <family val="2"/>
    </font>
    <font>
      <b/>
      <sz val="10"/>
      <color rgb="FF333333"/>
      <name val="MyFirstFont"/>
    </font>
    <font>
      <b/>
      <sz val="11"/>
      <color theme="0"/>
      <name val="Calibri"/>
      <family val="2"/>
      <scheme val="minor"/>
    </font>
    <font>
      <b/>
      <sz val="14"/>
      <color theme="1"/>
      <name val="Calibri"/>
      <family val="2"/>
      <scheme val="minor"/>
    </font>
    <font>
      <b/>
      <sz val="11"/>
      <color theme="1"/>
      <name val="Times New Roman"/>
      <family val="1"/>
    </font>
    <font>
      <sz val="11"/>
      <color theme="1"/>
      <name val="Times New Roman"/>
      <family val="1"/>
    </font>
    <font>
      <b/>
      <sz val="10"/>
      <color rgb="FF000000"/>
      <name val="Book Antiqua"/>
      <family val="1"/>
    </font>
  </fonts>
  <fills count="19">
    <fill>
      <patternFill patternType="none"/>
    </fill>
    <fill>
      <patternFill patternType="gray125"/>
    </fill>
    <fill>
      <patternFill patternType="solid">
        <fgColor rgb="FF92CDDC"/>
        <bgColor indexed="64"/>
      </patternFill>
    </fill>
    <fill>
      <patternFill patternType="solid">
        <fgColor theme="0"/>
        <bgColor indexed="64"/>
      </patternFill>
    </fill>
    <fill>
      <patternFill patternType="solid">
        <fgColor rgb="FFFFFFFF"/>
        <bgColor indexed="64"/>
      </patternFill>
    </fill>
    <fill>
      <patternFill patternType="solid">
        <fgColor theme="0" tint="-0.14996795556505021"/>
        <bgColor indexed="64"/>
      </patternFill>
    </fill>
    <fill>
      <patternFill patternType="solid">
        <fgColor indexed="10"/>
        <bgColor indexed="64"/>
      </patternFill>
    </fill>
    <fill>
      <patternFill patternType="solid">
        <fgColor theme="0" tint="-0.249977111117893"/>
        <bgColor indexed="64"/>
      </patternFill>
    </fill>
    <fill>
      <patternFill patternType="solid">
        <fgColor rgb="FFBFBFBF"/>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FFC000"/>
        <bgColor indexed="64"/>
      </patternFill>
    </fill>
    <fill>
      <patternFill patternType="solid">
        <fgColor rgb="FF75923C"/>
        <bgColor rgb="FF000000"/>
      </patternFill>
    </fill>
    <fill>
      <patternFill patternType="solid">
        <fgColor rgb="FFC2D69A"/>
        <bgColor rgb="FF000000"/>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rgb="FFC0C0C0"/>
        <bgColor indexed="64"/>
      </patternFill>
    </fill>
  </fills>
  <borders count="7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rgb="FF00B0F0"/>
      </top>
      <bottom style="thin">
        <color rgb="FF00B0F0"/>
      </bottom>
      <diagonal/>
    </border>
    <border>
      <left/>
      <right style="thin">
        <color rgb="FF00B0F0"/>
      </right>
      <top style="thin">
        <color rgb="FF00B0F0"/>
      </top>
      <bottom style="thin">
        <color rgb="FF00B0F0"/>
      </bottom>
      <diagonal/>
    </border>
    <border>
      <left style="thin">
        <color indexed="64"/>
      </left>
      <right style="thin">
        <color indexed="64"/>
      </right>
      <top style="thin">
        <color rgb="FF00B0F0"/>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indexed="64"/>
      </left>
      <right style="thin">
        <color indexed="64"/>
      </right>
      <top/>
      <bottom/>
      <diagonal/>
    </border>
    <border>
      <left style="thin">
        <color indexed="64"/>
      </left>
      <right style="thin">
        <color indexed="64"/>
      </right>
      <top style="thin">
        <color rgb="FF00B0F0"/>
      </top>
      <bottom style="thin">
        <color indexed="64"/>
      </bottom>
      <diagonal/>
    </border>
    <border>
      <left/>
      <right style="thin">
        <color rgb="FF00B0F0"/>
      </right>
      <top style="thin">
        <color rgb="FF00B0F0"/>
      </top>
      <bottom style="thin">
        <color indexed="64"/>
      </bottom>
      <diagonal/>
    </border>
    <border>
      <left style="thin">
        <color indexed="64"/>
      </left>
      <right/>
      <top/>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double">
        <color auto="1"/>
      </top>
      <bottom style="thin">
        <color indexed="64"/>
      </bottom>
      <diagonal/>
    </border>
    <border>
      <left/>
      <right/>
      <top style="thin">
        <color rgb="FF00B0F0"/>
      </top>
      <bottom style="thin">
        <color rgb="FF00B0F0"/>
      </bottom>
      <diagonal/>
    </border>
    <border>
      <left/>
      <right/>
      <top style="thin">
        <color rgb="FF00B0F0"/>
      </top>
      <bottom/>
      <diagonal/>
    </border>
    <border>
      <left style="thin">
        <color indexed="64"/>
      </left>
      <right style="thin">
        <color rgb="FF00B0F0"/>
      </right>
      <top style="thin">
        <color rgb="FF00B0F0"/>
      </top>
      <bottom style="thin">
        <color rgb="FF00B0F0"/>
      </bottom>
      <diagonal/>
    </border>
    <border>
      <left style="thin">
        <color rgb="FF00B0F0"/>
      </left>
      <right style="thin">
        <color indexed="64"/>
      </right>
      <top style="thin">
        <color rgb="FF00B0F0"/>
      </top>
      <bottom style="thin">
        <color rgb="FF00B0F0"/>
      </bottom>
      <diagonal/>
    </border>
    <border>
      <left style="thin">
        <color indexed="64"/>
      </left>
      <right style="thin">
        <color rgb="FF00B0F0"/>
      </right>
      <top style="thin">
        <color rgb="FF00B0F0"/>
      </top>
      <bottom style="thin">
        <color indexed="64"/>
      </bottom>
      <diagonal/>
    </border>
    <border>
      <left style="thin">
        <color rgb="FF00B0F0"/>
      </left>
      <right style="thin">
        <color indexed="64"/>
      </right>
      <top style="thin">
        <color rgb="FF00B0F0"/>
      </top>
      <bottom style="thin">
        <color indexed="64"/>
      </bottom>
      <diagonal/>
    </border>
    <border>
      <left/>
      <right/>
      <top/>
      <bottom style="thin">
        <color rgb="FF00B0F0"/>
      </bottom>
      <diagonal/>
    </border>
    <border>
      <left style="thin">
        <color indexed="64"/>
      </left>
      <right style="thin">
        <color rgb="FF00B0F0"/>
      </right>
      <top/>
      <bottom style="thin">
        <color rgb="FF00B0F0"/>
      </bottom>
      <diagonal/>
    </border>
    <border>
      <left style="thin">
        <color rgb="FF00B0F0"/>
      </left>
      <right style="thin">
        <color indexed="64"/>
      </right>
      <top/>
      <bottom style="thin">
        <color rgb="FF00B0F0"/>
      </bottom>
      <diagonal/>
    </border>
    <border>
      <left style="thin">
        <color indexed="64"/>
      </left>
      <right/>
      <top style="double">
        <color auto="1"/>
      </top>
      <bottom style="thin">
        <color indexed="64"/>
      </bottom>
      <diagonal/>
    </border>
    <border>
      <left/>
      <right style="thin">
        <color indexed="64"/>
      </right>
      <top style="double">
        <color auto="1"/>
      </top>
      <bottom style="thin">
        <color indexed="64"/>
      </bottom>
      <diagonal/>
    </border>
    <border>
      <left style="thin">
        <color indexed="64"/>
      </left>
      <right style="thin">
        <color indexed="64"/>
      </right>
      <top style="thin">
        <color indexed="64"/>
      </top>
      <bottom style="thin">
        <color rgb="FF92CDDC"/>
      </bottom>
      <diagonal/>
    </border>
    <border>
      <left style="thin">
        <color indexed="64"/>
      </left>
      <right style="thin">
        <color indexed="64"/>
      </right>
      <top style="thin">
        <color rgb="FF92CDDC"/>
      </top>
      <bottom style="thin">
        <color rgb="FF92CDDC"/>
      </bottom>
      <diagonal/>
    </border>
    <border>
      <left style="thin">
        <color indexed="64"/>
      </left>
      <right style="thin">
        <color indexed="64"/>
      </right>
      <top style="thin">
        <color rgb="FF92CDDC"/>
      </top>
      <bottom style="thin">
        <color indexed="64"/>
      </bottom>
      <diagonal/>
    </border>
    <border>
      <left style="thin">
        <color indexed="64"/>
      </left>
      <right/>
      <top style="thin">
        <color indexed="64"/>
      </top>
      <bottom style="thin">
        <color rgb="FF92CDDC"/>
      </bottom>
      <diagonal/>
    </border>
    <border>
      <left/>
      <right/>
      <top style="thin">
        <color indexed="64"/>
      </top>
      <bottom style="thin">
        <color rgb="FF92CDDC"/>
      </bottom>
      <diagonal/>
    </border>
    <border>
      <left style="thin">
        <color indexed="64"/>
      </left>
      <right/>
      <top style="thin">
        <color rgb="FF92CDDC"/>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thin">
        <color rgb="FF92CDDC"/>
      </top>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bottom style="thin">
        <color rgb="FF92CDDC"/>
      </bottom>
      <diagonal/>
    </border>
    <border>
      <left style="thin">
        <color indexed="64"/>
      </left>
      <right style="thin">
        <color theme="4"/>
      </right>
      <top style="thin">
        <color indexed="64"/>
      </top>
      <bottom style="thin">
        <color theme="4"/>
      </bottom>
      <diagonal/>
    </border>
    <border>
      <left style="thin">
        <color theme="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indexed="64"/>
      </left>
      <right style="thin">
        <color theme="4"/>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indexed="64"/>
      </right>
      <top style="thin">
        <color theme="4"/>
      </top>
      <bottom style="thin">
        <color theme="4"/>
      </bottom>
      <diagonal/>
    </border>
    <border>
      <left style="thin">
        <color indexed="64"/>
      </left>
      <right style="thin">
        <color theme="4"/>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style="thin">
        <color indexed="64"/>
      </left>
      <right style="thin">
        <color theme="4"/>
      </right>
      <top style="thin">
        <color theme="4"/>
      </top>
      <bottom style="thin">
        <color indexed="64"/>
      </bottom>
      <diagonal/>
    </border>
    <border>
      <left style="thin">
        <color theme="4"/>
      </left>
      <right style="thin">
        <color theme="4"/>
      </right>
      <top style="thin">
        <color theme="4"/>
      </top>
      <bottom style="thin">
        <color indexed="64"/>
      </bottom>
      <diagonal/>
    </border>
    <border>
      <left style="thin">
        <color theme="4"/>
      </left>
      <right style="thin">
        <color indexed="64"/>
      </right>
      <top style="thin">
        <color theme="4"/>
      </top>
      <bottom style="thin">
        <color indexed="64"/>
      </bottom>
      <diagonal/>
    </border>
    <border>
      <left/>
      <right style="thin">
        <color indexed="64"/>
      </right>
      <top/>
      <bottom/>
      <diagonal/>
    </border>
    <border>
      <left style="thin">
        <color theme="4"/>
      </left>
      <right/>
      <top style="thin">
        <color indexed="64"/>
      </top>
      <bottom style="thin">
        <color theme="4"/>
      </bottom>
      <diagonal/>
    </border>
    <border>
      <left/>
      <right style="thin">
        <color indexed="64"/>
      </right>
      <top style="thin">
        <color indexed="64"/>
      </top>
      <bottom style="thin">
        <color theme="4"/>
      </bottom>
      <diagonal/>
    </border>
    <border>
      <left style="thin">
        <color theme="4"/>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indexed="64"/>
      </top>
      <bottom style="thin">
        <color theme="4"/>
      </bottom>
      <diagonal/>
    </border>
    <border>
      <left style="thin">
        <color indexed="64"/>
      </left>
      <right/>
      <top style="thin">
        <color theme="4"/>
      </top>
      <bottom style="thin">
        <color theme="4"/>
      </bottom>
      <diagonal/>
    </border>
    <border>
      <left style="thin">
        <color indexed="64"/>
      </left>
      <right/>
      <top style="thin">
        <color theme="4"/>
      </top>
      <bottom style="thin">
        <color indexed="64"/>
      </bottom>
      <diagonal/>
    </border>
    <border>
      <left/>
      <right/>
      <top style="thin">
        <color theme="4"/>
      </top>
      <bottom style="thin">
        <color indexed="64"/>
      </bottom>
      <diagonal/>
    </border>
    <border>
      <left style="thin">
        <color indexed="64"/>
      </left>
      <right style="thin">
        <color indexed="64"/>
      </right>
      <top style="thin">
        <color indexed="64"/>
      </top>
      <bottom style="thin">
        <color theme="4"/>
      </bottom>
      <diagonal/>
    </border>
    <border>
      <left style="thin">
        <color auto="1"/>
      </left>
      <right style="thin">
        <color auto="1"/>
      </right>
      <top style="thin">
        <color theme="4"/>
      </top>
      <bottom style="thin">
        <color theme="4"/>
      </bottom>
      <diagonal/>
    </border>
    <border>
      <left style="thin">
        <color auto="1"/>
      </left>
      <right style="thin">
        <color auto="1"/>
      </right>
      <top style="thin">
        <color theme="4"/>
      </top>
      <bottom style="thin">
        <color indexed="64"/>
      </bottom>
      <diagonal/>
    </border>
    <border>
      <left style="thin">
        <color indexed="64"/>
      </left>
      <right style="thin">
        <color indexed="64"/>
      </right>
      <top style="thin">
        <color theme="3" tint="0.79998168889431442"/>
      </top>
      <bottom/>
      <diagonal/>
    </border>
    <border>
      <left/>
      <right/>
      <top style="thin">
        <color indexed="64"/>
      </top>
      <bottom/>
      <diagonal/>
    </border>
    <border>
      <left/>
      <right style="thin">
        <color indexed="64"/>
      </right>
      <top style="thin">
        <color indexed="64"/>
      </top>
      <bottom/>
      <diagonal/>
    </border>
  </borders>
  <cellStyleXfs count="5">
    <xf numFmtId="0" fontId="0" fillId="0" borderId="0"/>
    <xf numFmtId="164" fontId="1" fillId="0" borderId="0" applyFont="0" applyFill="0" applyBorder="0" applyAlignment="0" applyProtection="0"/>
    <xf numFmtId="0" fontId="10" fillId="0" borderId="0" applyNumberFormat="0" applyFill="0" applyBorder="0" applyAlignment="0" applyProtection="0">
      <alignment vertical="top"/>
      <protection locked="0"/>
    </xf>
    <xf numFmtId="0" fontId="18" fillId="0" borderId="0"/>
    <xf numFmtId="0" fontId="25" fillId="0" borderId="0" applyNumberFormat="0" applyFill="0" applyBorder="0">
      <alignment vertical="center"/>
    </xf>
  </cellStyleXfs>
  <cellXfs count="365">
    <xf numFmtId="0" fontId="0" fillId="0" borderId="0" xfId="0"/>
    <xf numFmtId="49" fontId="0" fillId="0" borderId="0" xfId="0" applyNumberFormat="1"/>
    <xf numFmtId="0" fontId="5" fillId="3" borderId="2" xfId="0" applyFont="1" applyFill="1" applyBorder="1" applyAlignment="1" applyProtection="1">
      <alignment horizontal="left" vertical="center"/>
      <protection hidden="1"/>
    </xf>
    <xf numFmtId="0" fontId="5" fillId="4" borderId="2" xfId="0" applyFont="1" applyFill="1" applyBorder="1" applyAlignment="1" applyProtection="1">
      <alignment horizontal="center" vertical="center"/>
      <protection locked="0"/>
    </xf>
    <xf numFmtId="49" fontId="0" fillId="4" borderId="2" xfId="0" applyNumberFormat="1" applyFill="1" applyBorder="1" applyAlignment="1" applyProtection="1">
      <alignment horizontal="center" vertical="center"/>
      <protection locked="0"/>
    </xf>
    <xf numFmtId="0" fontId="0" fillId="4" borderId="2" xfId="0" applyFill="1" applyBorder="1" applyAlignment="1" applyProtection="1">
      <alignment horizontal="center" vertical="center"/>
      <protection locked="0"/>
    </xf>
    <xf numFmtId="0" fontId="5" fillId="3" borderId="2" xfId="0" applyFont="1" applyFill="1" applyBorder="1" applyAlignment="1">
      <alignment horizontal="left" vertical="center"/>
    </xf>
    <xf numFmtId="0" fontId="5" fillId="3" borderId="2" xfId="0" applyFont="1" applyFill="1" applyBorder="1" applyAlignment="1" applyProtection="1">
      <alignment horizontal="left" vertical="center" wrapText="1"/>
      <protection hidden="1"/>
    </xf>
    <xf numFmtId="14" fontId="0" fillId="5" borderId="2" xfId="0" applyNumberFormat="1" applyFill="1" applyBorder="1" applyAlignment="1" applyProtection="1">
      <alignment horizontal="center" vertical="center"/>
      <protection hidden="1"/>
    </xf>
    <xf numFmtId="0" fontId="0" fillId="5" borderId="2" xfId="0" applyFill="1" applyBorder="1" applyAlignment="1" applyProtection="1">
      <alignment horizontal="left" vertical="center"/>
      <protection hidden="1"/>
    </xf>
    <xf numFmtId="49" fontId="0" fillId="4" borderId="2" xfId="0" applyNumberFormat="1" applyFill="1" applyBorder="1" applyAlignment="1" applyProtection="1">
      <alignment horizontal="left" vertical="center"/>
      <protection locked="0"/>
    </xf>
    <xf numFmtId="0" fontId="6" fillId="0" borderId="2" xfId="0" applyFont="1" applyFill="1" applyBorder="1" applyAlignment="1" applyProtection="1">
      <alignment horizontal="center" vertical="center"/>
      <protection hidden="1"/>
    </xf>
    <xf numFmtId="0" fontId="5" fillId="0" borderId="3" xfId="0" applyFont="1" applyFill="1" applyBorder="1" applyAlignment="1" applyProtection="1">
      <alignment horizontal="right" vertical="center"/>
      <protection hidden="1"/>
    </xf>
    <xf numFmtId="0" fontId="3" fillId="7" borderId="2" xfId="0" applyFont="1" applyFill="1" applyBorder="1" applyAlignment="1">
      <alignment vertical="center" wrapText="1"/>
    </xf>
    <xf numFmtId="0" fontId="7" fillId="0" borderId="6" xfId="0" applyFont="1" applyBorder="1" applyAlignment="1">
      <alignment horizontal="center" vertical="top" wrapText="1"/>
    </xf>
    <xf numFmtId="0" fontId="7" fillId="0" borderId="7" xfId="0" applyFont="1" applyBorder="1" applyAlignment="1">
      <alignment horizontal="center" vertical="top" wrapText="1"/>
    </xf>
    <xf numFmtId="0" fontId="0" fillId="0" borderId="0" xfId="0" applyAlignment="1">
      <alignment wrapText="1"/>
    </xf>
    <xf numFmtId="0" fontId="0" fillId="6" borderId="0" xfId="0" applyFill="1"/>
    <xf numFmtId="0" fontId="7" fillId="0" borderId="9" xfId="0" applyFont="1" applyBorder="1" applyAlignment="1">
      <alignment horizontal="center" vertical="top" wrapText="1"/>
    </xf>
    <xf numFmtId="0" fontId="5" fillId="0" borderId="2" xfId="0" applyFont="1" applyFill="1" applyBorder="1" applyAlignment="1" applyProtection="1">
      <alignment horizontal="center" vertical="center"/>
      <protection hidden="1"/>
    </xf>
    <xf numFmtId="0" fontId="5" fillId="0" borderId="2" xfId="0" applyFont="1" applyFill="1" applyBorder="1" applyAlignment="1" applyProtection="1">
      <alignment horizontal="right" vertical="center"/>
      <protection hidden="1"/>
    </xf>
    <xf numFmtId="49" fontId="3" fillId="4" borderId="2" xfId="0" applyNumberFormat="1" applyFont="1" applyFill="1" applyBorder="1" applyAlignment="1">
      <alignment horizontal="center"/>
    </xf>
    <xf numFmtId="0" fontId="5" fillId="0" borderId="11" xfId="0" applyFont="1" applyFill="1" applyBorder="1" applyAlignment="1" applyProtection="1">
      <alignment horizontal="center" vertical="center"/>
      <protection hidden="1"/>
    </xf>
    <xf numFmtId="0" fontId="5" fillId="0" borderId="11" xfId="0" applyFont="1" applyFill="1" applyBorder="1" applyAlignment="1" applyProtection="1">
      <alignment horizontal="right" vertical="center"/>
      <protection hidden="1"/>
    </xf>
    <xf numFmtId="49" fontId="3" fillId="4" borderId="12" xfId="0" applyNumberFormat="1" applyFont="1" applyFill="1" applyBorder="1" applyAlignment="1">
      <alignment horizontal="center"/>
    </xf>
    <xf numFmtId="0" fontId="3" fillId="7" borderId="2"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vertical="center" wrapText="1"/>
    </xf>
    <xf numFmtId="0" fontId="7" fillId="0" borderId="13" xfId="0" applyFont="1" applyBorder="1" applyAlignment="1">
      <alignment horizontal="center" vertical="center" wrapText="1"/>
    </xf>
    <xf numFmtId="0" fontId="7" fillId="0" borderId="13" xfId="0" applyFont="1" applyBorder="1" applyAlignment="1">
      <alignment vertical="center" wrapText="1"/>
    </xf>
    <xf numFmtId="0" fontId="7" fillId="0" borderId="0" xfId="0" applyFont="1" applyAlignment="1">
      <alignment vertical="top" wrapText="1"/>
    </xf>
    <xf numFmtId="0" fontId="3" fillId="0" borderId="0" xfId="0" applyFont="1"/>
    <xf numFmtId="0" fontId="0" fillId="0" borderId="0" xfId="0" applyBorder="1"/>
    <xf numFmtId="0" fontId="3" fillId="7" borderId="11" xfId="0" applyFont="1" applyFill="1" applyBorder="1" applyAlignment="1">
      <alignment horizontal="center" vertical="center" wrapText="1"/>
    </xf>
    <xf numFmtId="0" fontId="0" fillId="0" borderId="15" xfId="0" applyBorder="1"/>
    <xf numFmtId="0" fontId="7" fillId="0" borderId="16"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0" xfId="0" applyFont="1" applyBorder="1" applyAlignment="1">
      <alignment horizontal="center" vertical="center" wrapText="1"/>
    </xf>
    <xf numFmtId="0" fontId="0" fillId="0" borderId="0" xfId="0" applyBorder="1" applyAlignment="1">
      <alignment horizontal="left"/>
    </xf>
    <xf numFmtId="0" fontId="7" fillId="8" borderId="2" xfId="0" applyFont="1" applyFill="1" applyBorder="1" applyAlignment="1" applyProtection="1">
      <alignment horizontal="center" vertical="center" wrapText="1"/>
      <protection hidden="1"/>
    </xf>
    <xf numFmtId="0" fontId="3" fillId="7" borderId="2"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locked="0"/>
    </xf>
    <xf numFmtId="166" fontId="0" fillId="4" borderId="2" xfId="0" applyNumberFormat="1" applyFill="1" applyBorder="1" applyProtection="1">
      <protection locked="0"/>
    </xf>
    <xf numFmtId="0" fontId="0" fillId="0" borderId="3" xfId="0" applyBorder="1" applyAlignment="1"/>
    <xf numFmtId="0" fontId="0" fillId="0" borderId="4" xfId="0" applyBorder="1" applyAlignment="1"/>
    <xf numFmtId="0" fontId="0" fillId="0" borderId="5" xfId="0" applyBorder="1" applyAlignment="1"/>
    <xf numFmtId="0" fontId="3" fillId="4" borderId="2" xfId="0" applyFont="1" applyFill="1" applyBorder="1" applyAlignment="1" applyProtection="1">
      <alignment horizontal="center" vertical="center" wrapText="1"/>
      <protection locked="0"/>
    </xf>
    <xf numFmtId="0" fontId="3" fillId="7" borderId="10" xfId="0" applyFont="1" applyFill="1" applyBorder="1" applyAlignment="1">
      <alignment horizontal="center" vertical="center" wrapText="1"/>
    </xf>
    <xf numFmtId="0" fontId="3" fillId="4" borderId="2" xfId="0" applyFont="1" applyFill="1" applyBorder="1" applyAlignment="1" applyProtection="1">
      <alignment horizontal="left" vertical="center" wrapText="1"/>
      <protection locked="0"/>
    </xf>
    <xf numFmtId="0" fontId="0" fillId="0" borderId="2" xfId="0" applyBorder="1" applyAlignment="1">
      <alignment horizontal="center" vertical="center"/>
    </xf>
    <xf numFmtId="0" fontId="3" fillId="0" borderId="2" xfId="0" applyFont="1" applyBorder="1" applyAlignment="1">
      <alignment horizontal="right"/>
    </xf>
    <xf numFmtId="0" fontId="11" fillId="10" borderId="2" xfId="2" applyFont="1" applyFill="1" applyBorder="1" applyAlignment="1" applyProtection="1">
      <alignment horizontal="center" vertical="center" wrapText="1"/>
      <protection hidden="1"/>
    </xf>
    <xf numFmtId="0" fontId="10" fillId="10" borderId="2" xfId="2" applyFill="1" applyBorder="1" applyAlignment="1" applyProtection="1">
      <alignment horizontal="center" vertical="center" wrapText="1"/>
      <protection hidden="1"/>
    </xf>
    <xf numFmtId="0" fontId="6" fillId="0" borderId="2" xfId="0" applyFont="1" applyFill="1" applyBorder="1" applyAlignment="1" applyProtection="1">
      <alignment horizontal="right" vertical="center"/>
      <protection hidden="1"/>
    </xf>
    <xf numFmtId="49" fontId="3" fillId="0" borderId="2" xfId="0" applyNumberFormat="1" applyFont="1" applyBorder="1" applyAlignment="1">
      <alignment horizontal="center"/>
    </xf>
    <xf numFmtId="0" fontId="3" fillId="0" borderId="2" xfId="0" applyFont="1" applyBorder="1" applyAlignment="1">
      <alignment horizontal="center"/>
    </xf>
    <xf numFmtId="0" fontId="8" fillId="7" borderId="2" xfId="0" applyFont="1" applyFill="1" applyBorder="1" applyAlignment="1">
      <alignment horizontal="center"/>
    </xf>
    <xf numFmtId="0" fontId="3" fillId="11" borderId="2" xfId="0" applyFont="1" applyFill="1" applyBorder="1" applyAlignment="1">
      <alignment horizontal="right" indent="1"/>
    </xf>
    <xf numFmtId="0" fontId="3" fillId="11" borderId="2" xfId="0" applyFont="1" applyFill="1" applyBorder="1" applyAlignment="1">
      <alignment horizontal="left"/>
    </xf>
    <xf numFmtId="0" fontId="0" fillId="11" borderId="2" xfId="0" applyFill="1" applyBorder="1" applyAlignment="1">
      <alignment horizontal="left" indent="1"/>
    </xf>
    <xf numFmtId="0" fontId="0" fillId="0" borderId="2" xfId="0" applyBorder="1" applyAlignment="1">
      <alignment horizontal="right" indent="1"/>
    </xf>
    <xf numFmtId="0" fontId="0" fillId="0" borderId="2" xfId="0" applyBorder="1" applyAlignment="1">
      <alignment horizontal="left" indent="1"/>
    </xf>
    <xf numFmtId="0" fontId="3" fillId="0" borderId="2" xfId="0" applyFont="1" applyBorder="1" applyAlignment="1">
      <alignment horizontal="left" indent="1"/>
    </xf>
    <xf numFmtId="0" fontId="3" fillId="11" borderId="2" xfId="0" applyFont="1" applyFill="1" applyBorder="1" applyAlignment="1">
      <alignment wrapText="1"/>
    </xf>
    <xf numFmtId="0" fontId="0" fillId="0" borderId="2" xfId="0" applyBorder="1" applyAlignment="1">
      <alignment horizontal="right"/>
    </xf>
    <xf numFmtId="0" fontId="0" fillId="0" borderId="2" xfId="0" applyBorder="1" applyAlignment="1">
      <alignment horizontal="left" wrapText="1" indent="1"/>
    </xf>
    <xf numFmtId="0" fontId="3" fillId="11" borderId="2" xfId="0" applyFont="1" applyFill="1" applyBorder="1" applyAlignment="1">
      <alignment horizontal="right"/>
    </xf>
    <xf numFmtId="0" fontId="0" fillId="11" borderId="2" xfId="0" applyFill="1" applyBorder="1"/>
    <xf numFmtId="0" fontId="3" fillId="0" borderId="2" xfId="0" applyFont="1" applyBorder="1" applyAlignment="1">
      <alignment wrapText="1"/>
    </xf>
    <xf numFmtId="0" fontId="0" fillId="0" borderId="2" xfId="0" applyFont="1" applyBorder="1" applyAlignment="1">
      <alignment horizontal="left" wrapText="1" indent="1"/>
    </xf>
    <xf numFmtId="0" fontId="0" fillId="0" borderId="2" xfId="0" applyFont="1" applyBorder="1" applyAlignment="1">
      <alignment wrapText="1"/>
    </xf>
    <xf numFmtId="0" fontId="0" fillId="11" borderId="2" xfId="0" applyFill="1" applyBorder="1" applyAlignment="1">
      <alignment horizontal="right"/>
    </xf>
    <xf numFmtId="0" fontId="0" fillId="0" borderId="2" xfId="0" applyBorder="1"/>
    <xf numFmtId="49" fontId="3" fillId="0" borderId="2" xfId="0" applyNumberFormat="1" applyFont="1" applyBorder="1" applyAlignment="1">
      <alignment horizontal="right"/>
    </xf>
    <xf numFmtId="0" fontId="0" fillId="7" borderId="12" xfId="0" applyFill="1" applyBorder="1" applyAlignment="1">
      <alignment horizontal="right"/>
    </xf>
    <xf numFmtId="0" fontId="0" fillId="7" borderId="2" xfId="0" applyFill="1" applyBorder="1" applyAlignment="1">
      <alignment horizontal="right"/>
    </xf>
    <xf numFmtId="0" fontId="0" fillId="9" borderId="12" xfId="0" applyFill="1" applyBorder="1" applyAlignment="1">
      <alignment horizontal="right"/>
    </xf>
    <xf numFmtId="0" fontId="0" fillId="9" borderId="10" xfId="0" applyFill="1" applyBorder="1"/>
    <xf numFmtId="0" fontId="0" fillId="9" borderId="17" xfId="0" applyFill="1" applyBorder="1"/>
    <xf numFmtId="49" fontId="12" fillId="13" borderId="0" xfId="0" applyNumberFormat="1" applyFont="1" applyFill="1" applyBorder="1" applyAlignment="1">
      <alignment horizontal="center" vertical="center"/>
    </xf>
    <xf numFmtId="49" fontId="12" fillId="14" borderId="0" xfId="0" applyNumberFormat="1" applyFont="1" applyFill="1" applyBorder="1" applyAlignment="1"/>
    <xf numFmtId="49" fontId="13" fillId="0" borderId="0" xfId="0" applyNumberFormat="1" applyFont="1" applyBorder="1"/>
    <xf numFmtId="0" fontId="13" fillId="0" borderId="0" xfId="0" applyFont="1" applyBorder="1"/>
    <xf numFmtId="0" fontId="0" fillId="3" borderId="12" xfId="0" applyFill="1" applyBorder="1"/>
    <xf numFmtId="0" fontId="0" fillId="3" borderId="2" xfId="0" applyFill="1" applyBorder="1"/>
    <xf numFmtId="0" fontId="0" fillId="3" borderId="10" xfId="0" applyFill="1" applyBorder="1"/>
    <xf numFmtId="0" fontId="3" fillId="7" borderId="2" xfId="0" applyFont="1" applyFill="1" applyBorder="1" applyAlignment="1" applyProtection="1">
      <alignment horizontal="center" vertical="center" wrapText="1"/>
      <protection hidden="1"/>
    </xf>
    <xf numFmtId="2" fontId="0" fillId="4" borderId="2" xfId="0" applyNumberFormat="1" applyFill="1" applyBorder="1" applyProtection="1">
      <protection locked="0"/>
    </xf>
    <xf numFmtId="0" fontId="0" fillId="4" borderId="0" xfId="0" applyFill="1"/>
    <xf numFmtId="2" fontId="0" fillId="4" borderId="21" xfId="0" applyNumberFormat="1" applyFill="1" applyBorder="1" applyProtection="1">
      <protection locked="0" hidden="1"/>
    </xf>
    <xf numFmtId="2" fontId="0" fillId="4" borderId="26" xfId="0" applyNumberFormat="1" applyFill="1" applyBorder="1" applyProtection="1">
      <protection locked="0" hidden="1"/>
    </xf>
    <xf numFmtId="0" fontId="8" fillId="7" borderId="2" xfId="0" applyFont="1" applyFill="1" applyBorder="1" applyAlignment="1">
      <alignment horizontal="center" vertical="center" wrapText="1"/>
    </xf>
    <xf numFmtId="0" fontId="14" fillId="0" borderId="0" xfId="0" applyFont="1" applyFill="1" applyBorder="1"/>
    <xf numFmtId="0" fontId="14" fillId="0" borderId="0" xfId="0" applyFont="1" applyBorder="1"/>
    <xf numFmtId="0" fontId="14" fillId="0" borderId="0" xfId="0" applyFont="1" applyBorder="1" applyAlignment="1">
      <alignment horizontal="left"/>
    </xf>
    <xf numFmtId="0" fontId="14" fillId="0" borderId="0" xfId="0" applyFont="1" applyFill="1"/>
    <xf numFmtId="0" fontId="15" fillId="0" borderId="0" xfId="0" applyFont="1" applyFill="1" applyAlignment="1">
      <alignment horizontal="center"/>
    </xf>
    <xf numFmtId="0" fontId="0" fillId="10" borderId="2" xfId="0" applyFill="1" applyBorder="1" applyAlignment="1" applyProtection="1">
      <alignment horizontal="right" indent="1"/>
      <protection hidden="1"/>
    </xf>
    <xf numFmtId="0" fontId="3" fillId="10" borderId="2" xfId="0" applyFont="1" applyFill="1" applyBorder="1" applyAlignment="1" applyProtection="1">
      <alignment horizontal="right" indent="1"/>
      <protection hidden="1"/>
    </xf>
    <xf numFmtId="166" fontId="0" fillId="10" borderId="2" xfId="0" applyNumberFormat="1" applyFill="1" applyBorder="1" applyProtection="1">
      <protection hidden="1"/>
    </xf>
    <xf numFmtId="0" fontId="3" fillId="0" borderId="2" xfId="0" applyFont="1" applyFill="1" applyBorder="1" applyAlignment="1">
      <alignment horizontal="right"/>
    </xf>
    <xf numFmtId="0" fontId="3" fillId="0" borderId="2" xfId="0" applyFont="1" applyFill="1" applyBorder="1" applyAlignment="1">
      <alignment wrapText="1"/>
    </xf>
    <xf numFmtId="0" fontId="3" fillId="0" borderId="0" xfId="0" applyFont="1" applyAlignment="1">
      <alignment wrapText="1"/>
    </xf>
    <xf numFmtId="0" fontId="3" fillId="10" borderId="2" xfId="0" applyFont="1" applyFill="1" applyBorder="1" applyAlignment="1" applyProtection="1">
      <alignment horizontal="left" indent="1"/>
      <protection hidden="1"/>
    </xf>
    <xf numFmtId="0" fontId="3" fillId="10" borderId="0" xfId="0" applyFont="1" applyFill="1" applyBorder="1" applyAlignment="1" applyProtection="1">
      <alignment horizontal="left" wrapText="1" indent="1"/>
      <protection hidden="1"/>
    </xf>
    <xf numFmtId="14" fontId="0" fillId="0" borderId="0" xfId="0" applyNumberFormat="1"/>
    <xf numFmtId="0" fontId="0" fillId="4" borderId="0" xfId="0" applyFill="1" applyProtection="1">
      <protection locked="0"/>
    </xf>
    <xf numFmtId="49" fontId="16" fillId="0" borderId="0" xfId="0" applyNumberFormat="1" applyFont="1" applyBorder="1"/>
    <xf numFmtId="2" fontId="0" fillId="7" borderId="2" xfId="0" applyNumberFormat="1" applyFill="1" applyBorder="1" applyAlignment="1" applyProtection="1">
      <alignment horizontal="right"/>
      <protection hidden="1"/>
    </xf>
    <xf numFmtId="2" fontId="0" fillId="9" borderId="2" xfId="0" applyNumberFormat="1" applyFill="1" applyBorder="1" applyAlignment="1" applyProtection="1">
      <alignment horizontal="right"/>
      <protection hidden="1"/>
    </xf>
    <xf numFmtId="2" fontId="0" fillId="9" borderId="11" xfId="0" applyNumberFormat="1" applyFill="1" applyBorder="1" applyAlignment="1">
      <alignment horizontal="right"/>
    </xf>
    <xf numFmtId="2" fontId="0" fillId="9" borderId="10" xfId="0" applyNumberFormat="1" applyFill="1" applyBorder="1" applyAlignment="1" applyProtection="1">
      <alignment horizontal="right"/>
      <protection hidden="1"/>
    </xf>
    <xf numFmtId="2" fontId="0" fillId="9" borderId="17" xfId="0" applyNumberFormat="1" applyFill="1" applyBorder="1" applyAlignment="1" applyProtection="1">
      <alignment horizontal="right"/>
      <protection hidden="1"/>
    </xf>
    <xf numFmtId="0" fontId="0" fillId="7" borderId="12" xfId="0" applyFill="1" applyBorder="1" applyAlignment="1" applyProtection="1">
      <alignment horizontal="right"/>
      <protection hidden="1"/>
    </xf>
    <xf numFmtId="0" fontId="0" fillId="7" borderId="2" xfId="0" applyFill="1" applyBorder="1" applyAlignment="1" applyProtection="1">
      <alignment horizontal="right"/>
      <protection hidden="1"/>
    </xf>
    <xf numFmtId="0" fontId="0" fillId="9" borderId="11" xfId="0" applyFill="1" applyBorder="1" applyAlignment="1" applyProtection="1">
      <alignment horizontal="right"/>
      <protection hidden="1"/>
    </xf>
    <xf numFmtId="2" fontId="0" fillId="9" borderId="12" xfId="0" applyNumberFormat="1" applyFill="1" applyBorder="1" applyAlignment="1" applyProtection="1">
      <alignment horizontal="right"/>
      <protection hidden="1"/>
    </xf>
    <xf numFmtId="0" fontId="0" fillId="12" borderId="2" xfId="0" applyFill="1" applyBorder="1" applyAlignment="1">
      <alignment horizontal="center"/>
    </xf>
    <xf numFmtId="0" fontId="17" fillId="7" borderId="3" xfId="0" applyFont="1" applyFill="1" applyBorder="1" applyAlignment="1">
      <alignment vertical="center"/>
    </xf>
    <xf numFmtId="0" fontId="17" fillId="7" borderId="4" xfId="0" applyFont="1" applyFill="1" applyBorder="1" applyAlignment="1">
      <alignment vertical="center"/>
    </xf>
    <xf numFmtId="0" fontId="0" fillId="7" borderId="2" xfId="0" applyFill="1" applyBorder="1" applyAlignment="1">
      <alignment horizontal="center"/>
    </xf>
    <xf numFmtId="0" fontId="0" fillId="7" borderId="2" xfId="0" applyFill="1" applyBorder="1" applyAlignment="1">
      <alignment horizontal="left" indent="1"/>
    </xf>
    <xf numFmtId="0" fontId="0" fillId="7" borderId="3" xfId="0" applyFill="1" applyBorder="1"/>
    <xf numFmtId="2" fontId="0" fillId="4" borderId="29" xfId="0" applyNumberFormat="1" applyFill="1" applyBorder="1" applyProtection="1">
      <protection locked="0"/>
    </xf>
    <xf numFmtId="2" fontId="0" fillId="4" borderId="30" xfId="0" applyNumberFormat="1" applyFill="1" applyBorder="1" applyProtection="1">
      <protection locked="0"/>
    </xf>
    <xf numFmtId="2" fontId="0" fillId="4" borderId="31" xfId="0" applyNumberFormat="1" applyFill="1" applyBorder="1" applyProtection="1">
      <protection locked="0"/>
    </xf>
    <xf numFmtId="0" fontId="3" fillId="4" borderId="29" xfId="0" applyFont="1" applyFill="1" applyBorder="1" applyProtection="1">
      <protection locked="0"/>
    </xf>
    <xf numFmtId="2" fontId="1" fillId="4" borderId="29" xfId="1" applyNumberFormat="1" applyFont="1" applyFill="1" applyBorder="1" applyProtection="1">
      <protection locked="0"/>
    </xf>
    <xf numFmtId="0" fontId="0" fillId="4" borderId="30" xfId="0" applyFill="1" applyBorder="1" applyProtection="1">
      <protection locked="0"/>
    </xf>
    <xf numFmtId="2" fontId="1" fillId="4" borderId="30" xfId="1" applyNumberFormat="1" applyFont="1" applyFill="1" applyBorder="1" applyProtection="1">
      <protection locked="0"/>
    </xf>
    <xf numFmtId="0" fontId="0" fillId="4" borderId="31" xfId="0" applyFill="1" applyBorder="1" applyProtection="1">
      <protection locked="0"/>
    </xf>
    <xf numFmtId="2" fontId="1" fillId="4" borderId="31" xfId="1" applyNumberFormat="1" applyFont="1" applyFill="1" applyBorder="1" applyProtection="1">
      <protection locked="0"/>
    </xf>
    <xf numFmtId="0" fontId="0" fillId="0" borderId="32" xfId="0" applyBorder="1" applyAlignment="1"/>
    <xf numFmtId="0" fontId="0" fillId="0" borderId="33" xfId="0" applyBorder="1"/>
    <xf numFmtId="0" fontId="0" fillId="0" borderId="29" xfId="0" applyBorder="1" applyAlignment="1">
      <alignment horizontal="right"/>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9" xfId="0" applyBorder="1"/>
    <xf numFmtId="0" fontId="0" fillId="4" borderId="29" xfId="0" applyFill="1" applyBorder="1" applyAlignment="1" applyProtection="1">
      <alignment horizontal="right"/>
      <protection locked="0"/>
    </xf>
    <xf numFmtId="0" fontId="0" fillId="0" borderId="31" xfId="0" applyBorder="1"/>
    <xf numFmtId="0" fontId="0" fillId="4" borderId="31" xfId="0" applyFill="1" applyBorder="1" applyAlignment="1" applyProtection="1">
      <alignment horizontal="right"/>
      <protection locked="0"/>
    </xf>
    <xf numFmtId="0" fontId="0" fillId="0" borderId="29" xfId="0" applyBorder="1" applyAlignment="1">
      <alignment horizontal="right" wrapText="1"/>
    </xf>
    <xf numFmtId="0" fontId="0" fillId="0" borderId="30" xfId="0" applyFont="1" applyFill="1" applyBorder="1" applyAlignment="1">
      <alignment horizontal="center" vertical="center"/>
    </xf>
    <xf numFmtId="0" fontId="0" fillId="0" borderId="31" xfId="0" applyFont="1" applyFill="1" applyBorder="1" applyAlignment="1">
      <alignment horizontal="center" vertical="center"/>
    </xf>
    <xf numFmtId="0" fontId="0" fillId="0" borderId="30" xfId="0" applyBorder="1" applyAlignment="1">
      <alignment horizontal="right"/>
    </xf>
    <xf numFmtId="0" fontId="0" fillId="0" borderId="31" xfId="0" applyBorder="1" applyAlignment="1">
      <alignment horizontal="right"/>
    </xf>
    <xf numFmtId="0" fontId="0" fillId="7" borderId="11" xfId="0" applyFill="1" applyBorder="1" applyAlignment="1">
      <alignment horizontal="center"/>
    </xf>
    <xf numFmtId="0" fontId="0" fillId="7" borderId="37" xfId="0" applyFill="1" applyBorder="1" applyAlignment="1">
      <alignment horizontal="center"/>
    </xf>
    <xf numFmtId="0" fontId="0" fillId="0" borderId="10" xfId="0" quotePrefix="1" applyBorder="1" applyAlignment="1">
      <alignment horizontal="right"/>
    </xf>
    <xf numFmtId="0" fontId="0" fillId="7" borderId="35" xfId="0" applyFill="1" applyBorder="1"/>
    <xf numFmtId="0" fontId="0" fillId="7" borderId="2" xfId="0" quotePrefix="1" applyFill="1" applyBorder="1" applyAlignment="1">
      <alignment horizontal="right"/>
    </xf>
    <xf numFmtId="0" fontId="0" fillId="0" borderId="41" xfId="0" applyBorder="1" applyAlignment="1">
      <alignment horizontal="right"/>
    </xf>
    <xf numFmtId="0" fontId="3" fillId="4" borderId="41" xfId="0" applyFont="1" applyFill="1" applyBorder="1" applyProtection="1">
      <protection locked="0"/>
    </xf>
    <xf numFmtId="0" fontId="0" fillId="7" borderId="2" xfId="0" applyFill="1" applyBorder="1" applyAlignment="1">
      <alignment horizontal="right" indent="2"/>
    </xf>
    <xf numFmtId="0" fontId="0" fillId="0" borderId="29" xfId="0" applyBorder="1" applyAlignment="1">
      <alignment horizontal="right" indent="2"/>
    </xf>
    <xf numFmtId="0" fontId="0" fillId="0" borderId="30" xfId="0" applyBorder="1" applyAlignment="1">
      <alignment horizontal="right" indent="2"/>
    </xf>
    <xf numFmtId="0" fontId="0" fillId="0" borderId="38" xfId="0" applyBorder="1" applyAlignment="1">
      <alignment horizontal="right" indent="2"/>
    </xf>
    <xf numFmtId="0" fontId="0" fillId="0" borderId="29" xfId="0" quotePrefix="1" applyBorder="1" applyAlignment="1">
      <alignment horizontal="right" indent="2"/>
    </xf>
    <xf numFmtId="0" fontId="0" fillId="0" borderId="30" xfId="0" quotePrefix="1" applyBorder="1" applyAlignment="1">
      <alignment horizontal="right" indent="2"/>
    </xf>
    <xf numFmtId="0" fontId="0" fillId="0" borderId="38" xfId="0" quotePrefix="1" applyBorder="1" applyAlignment="1">
      <alignment horizontal="right" indent="2"/>
    </xf>
    <xf numFmtId="2" fontId="0" fillId="4" borderId="2" xfId="0" applyNumberFormat="1" applyFill="1" applyBorder="1" applyProtection="1">
      <protection locked="0" hidden="1"/>
    </xf>
    <xf numFmtId="2" fontId="0" fillId="4" borderId="25" xfId="0" applyNumberFormat="1" applyFill="1" applyBorder="1" applyProtection="1">
      <protection locked="0" hidden="1"/>
    </xf>
    <xf numFmtId="2" fontId="0" fillId="4" borderId="20" xfId="0" applyNumberFormat="1" applyFill="1" applyBorder="1" applyProtection="1">
      <protection locked="0" hidden="1"/>
    </xf>
    <xf numFmtId="49" fontId="20" fillId="16" borderId="42" xfId="3" applyNumberFormat="1" applyFont="1" applyFill="1" applyBorder="1" applyAlignment="1">
      <alignment horizontal="center" vertical="center" wrapText="1"/>
    </xf>
    <xf numFmtId="49" fontId="20" fillId="16" borderId="45" xfId="3" applyNumberFormat="1" applyFont="1" applyFill="1" applyBorder="1" applyAlignment="1">
      <alignment horizontal="center" vertical="center" wrapText="1"/>
    </xf>
    <xf numFmtId="49" fontId="20" fillId="16" borderId="48" xfId="3" applyNumberFormat="1" applyFont="1" applyFill="1" applyBorder="1" applyAlignment="1">
      <alignment horizontal="center" vertical="center" wrapText="1"/>
    </xf>
    <xf numFmtId="49" fontId="20" fillId="16" borderId="52" xfId="3" applyNumberFormat="1" applyFont="1" applyFill="1" applyBorder="1" applyAlignment="1">
      <alignment horizontal="center" vertical="center" wrapText="1"/>
    </xf>
    <xf numFmtId="0" fontId="10" fillId="0" borderId="0" xfId="2" applyAlignment="1" applyProtection="1"/>
    <xf numFmtId="0" fontId="24" fillId="17" borderId="0" xfId="3" applyFont="1" applyFill="1" applyBorder="1" applyAlignment="1">
      <alignment vertical="center" wrapText="1"/>
    </xf>
    <xf numFmtId="0" fontId="10" fillId="17" borderId="0" xfId="2" applyFill="1" applyBorder="1" applyAlignment="1" applyProtection="1">
      <alignment vertical="center" wrapText="1"/>
    </xf>
    <xf numFmtId="0" fontId="23" fillId="17" borderId="42" xfId="4" applyFont="1" applyFill="1" applyBorder="1" applyAlignment="1">
      <alignment horizontal="center" vertical="center" wrapText="1"/>
    </xf>
    <xf numFmtId="0" fontId="10" fillId="17" borderId="57" xfId="2" applyFill="1" applyBorder="1" applyAlignment="1" applyProtection="1">
      <alignment vertical="center" wrapText="1"/>
    </xf>
    <xf numFmtId="0" fontId="23" fillId="17" borderId="45" xfId="4" applyFont="1" applyFill="1" applyBorder="1" applyAlignment="1">
      <alignment horizontal="center" vertical="center" wrapText="1"/>
    </xf>
    <xf numFmtId="0" fontId="10" fillId="17" borderId="51" xfId="2" applyFill="1" applyBorder="1" applyAlignment="1" applyProtection="1">
      <alignment vertical="center" wrapText="1"/>
    </xf>
    <xf numFmtId="0" fontId="23" fillId="17" borderId="52" xfId="4" applyFont="1" applyFill="1" applyBorder="1" applyAlignment="1">
      <alignment horizontal="center" vertical="center" wrapText="1"/>
    </xf>
    <xf numFmtId="0" fontId="10" fillId="17" borderId="59" xfId="2" applyFill="1" applyBorder="1" applyAlignment="1" applyProtection="1">
      <alignment vertical="center" wrapText="1"/>
    </xf>
    <xf numFmtId="0" fontId="23" fillId="17" borderId="0" xfId="4" applyFont="1" applyFill="1" applyBorder="1" applyAlignment="1">
      <alignment horizontal="justify" vertical="center" wrapText="1"/>
    </xf>
    <xf numFmtId="0" fontId="10" fillId="17" borderId="0" xfId="2" applyFill="1" applyBorder="1" applyAlignment="1" applyProtection="1">
      <alignment horizontal="justify" vertical="center" wrapText="1"/>
    </xf>
    <xf numFmtId="0" fontId="23" fillId="17" borderId="48" xfId="4" applyFont="1" applyFill="1" applyBorder="1" applyAlignment="1">
      <alignment horizontal="center" vertical="center" wrapText="1"/>
    </xf>
    <xf numFmtId="49" fontId="3" fillId="3" borderId="2" xfId="0" applyNumberFormat="1" applyFont="1" applyFill="1" applyBorder="1" applyAlignment="1" applyProtection="1">
      <alignment horizontal="center" vertical="center" wrapText="1"/>
      <protection locked="0"/>
    </xf>
    <xf numFmtId="1" fontId="0" fillId="4" borderId="2" xfId="0" applyNumberFormat="1" applyFill="1" applyBorder="1" applyProtection="1">
      <protection locked="0" hidden="1"/>
    </xf>
    <xf numFmtId="2" fontId="0" fillId="18" borderId="2" xfId="0" applyNumberFormat="1" applyFill="1" applyBorder="1" applyProtection="1">
      <protection hidden="1"/>
    </xf>
    <xf numFmtId="0" fontId="3" fillId="7" borderId="4" xfId="0" applyFont="1" applyFill="1" applyBorder="1" applyAlignment="1" applyProtection="1">
      <alignment horizontal="left" vertical="center" wrapText="1"/>
      <protection hidden="1"/>
    </xf>
    <xf numFmtId="0" fontId="3" fillId="7" borderId="5" xfId="0" applyFont="1" applyFill="1" applyBorder="1" applyAlignment="1" applyProtection="1">
      <alignment horizontal="left" vertical="center" wrapText="1"/>
      <protection hidden="1"/>
    </xf>
    <xf numFmtId="0" fontId="31" fillId="0" borderId="2" xfId="0" applyFont="1" applyFill="1" applyBorder="1" applyAlignment="1" applyProtection="1">
      <alignment vertical="center" wrapText="1"/>
      <protection hidden="1"/>
    </xf>
    <xf numFmtId="0" fontId="14" fillId="0" borderId="0" xfId="0" applyFont="1"/>
    <xf numFmtId="0" fontId="3" fillId="3" borderId="2" xfId="0" applyFont="1" applyFill="1" applyBorder="1" applyAlignment="1" applyProtection="1">
      <alignment horizontal="center" vertical="center" wrapText="1"/>
      <protection hidden="1"/>
    </xf>
    <xf numFmtId="0" fontId="14" fillId="0" borderId="4" xfId="0" applyFont="1" applyBorder="1" applyAlignment="1" applyProtection="1">
      <protection hidden="1"/>
    </xf>
    <xf numFmtId="0" fontId="30" fillId="4" borderId="2" xfId="0" applyFont="1" applyFill="1" applyBorder="1" applyProtection="1">
      <protection locked="0"/>
    </xf>
    <xf numFmtId="0" fontId="0" fillId="0" borderId="24"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33" fillId="7" borderId="2" xfId="0" applyFont="1" applyFill="1" applyBorder="1" applyAlignment="1">
      <alignment horizontal="center" vertical="center" wrapText="1"/>
    </xf>
    <xf numFmtId="0" fontId="34" fillId="0" borderId="8" xfId="0" applyFont="1" applyBorder="1" applyAlignment="1">
      <alignment vertical="center" wrapText="1"/>
    </xf>
    <xf numFmtId="0" fontId="34" fillId="0" borderId="14" xfId="0" applyFont="1" applyBorder="1" applyAlignment="1">
      <alignment vertical="center" wrapText="1"/>
    </xf>
    <xf numFmtId="0" fontId="34" fillId="0" borderId="16" xfId="0" applyFont="1" applyBorder="1" applyAlignment="1">
      <alignment horizontal="left" vertical="center" wrapText="1"/>
    </xf>
    <xf numFmtId="0" fontId="34" fillId="0" borderId="7" xfId="0" applyFont="1" applyBorder="1" applyAlignment="1">
      <alignment horizontal="left" vertical="center" wrapText="1"/>
    </xf>
    <xf numFmtId="0" fontId="34" fillId="0" borderId="9" xfId="0" applyFont="1" applyBorder="1" applyAlignment="1">
      <alignment horizontal="left" vertical="center" wrapText="1"/>
    </xf>
    <xf numFmtId="0" fontId="3" fillId="4" borderId="2" xfId="0" applyFont="1" applyFill="1" applyBorder="1" applyAlignment="1">
      <alignment horizontal="center"/>
    </xf>
    <xf numFmtId="49" fontId="3" fillId="4" borderId="2" xfId="0" applyNumberFormat="1" applyFont="1" applyFill="1" applyBorder="1" applyAlignment="1">
      <alignment horizontal="right"/>
    </xf>
    <xf numFmtId="2" fontId="0" fillId="4" borderId="2" xfId="0" applyNumberFormat="1" applyFill="1" applyBorder="1" applyAlignment="1" applyProtection="1">
      <alignment horizontal="right"/>
      <protection hidden="1"/>
    </xf>
    <xf numFmtId="2" fontId="0" fillId="4" borderId="68" xfId="0" applyNumberFormat="1" applyFill="1" applyBorder="1" applyProtection="1">
      <protection locked="0" hidden="1"/>
    </xf>
    <xf numFmtId="1" fontId="14" fillId="4" borderId="2" xfId="0" applyNumberFormat="1" applyFont="1" applyFill="1" applyBorder="1" applyProtection="1">
      <protection locked="0" hidden="1"/>
    </xf>
    <xf numFmtId="2" fontId="14" fillId="4" borderId="2" xfId="0" applyNumberFormat="1" applyFont="1" applyFill="1" applyBorder="1" applyProtection="1">
      <protection locked="0" hidden="1"/>
    </xf>
    <xf numFmtId="0" fontId="3" fillId="7" borderId="2" xfId="0" applyFont="1" applyFill="1" applyBorder="1" applyAlignment="1">
      <alignment horizontal="center" vertical="top" wrapText="1"/>
    </xf>
    <xf numFmtId="0" fontId="0" fillId="10" borderId="2" xfId="0" applyFill="1" applyBorder="1" applyAlignment="1" applyProtection="1">
      <alignment horizontal="center" vertical="center"/>
    </xf>
    <xf numFmtId="0" fontId="3" fillId="12" borderId="2" xfId="0" applyFont="1" applyFill="1" applyBorder="1" applyAlignment="1">
      <alignment horizontal="center"/>
    </xf>
    <xf numFmtId="0" fontId="3" fillId="7" borderId="2" xfId="0" applyFont="1" applyFill="1" applyBorder="1" applyAlignment="1" applyProtection="1">
      <alignment horizontal="center" vertical="center" wrapText="1"/>
      <protection hidden="1"/>
    </xf>
    <xf numFmtId="0" fontId="3" fillId="3" borderId="3" xfId="0" applyFont="1" applyFill="1" applyBorder="1" applyAlignment="1" applyProtection="1">
      <alignment horizontal="center" vertical="center" wrapText="1"/>
      <protection hidden="1"/>
    </xf>
    <xf numFmtId="0" fontId="3" fillId="7" borderId="3" xfId="0" applyFont="1" applyFill="1" applyBorder="1" applyAlignment="1" applyProtection="1">
      <alignment horizontal="center" vertical="center" wrapText="1"/>
      <protection hidden="1"/>
    </xf>
    <xf numFmtId="0" fontId="3" fillId="7" borderId="4" xfId="0" applyFont="1" applyFill="1" applyBorder="1" applyAlignment="1" applyProtection="1">
      <alignment horizontal="center" vertical="center" wrapText="1"/>
      <protection hidden="1"/>
    </xf>
    <xf numFmtId="0" fontId="3" fillId="7" borderId="5" xfId="0" applyFont="1" applyFill="1" applyBorder="1" applyAlignment="1" applyProtection="1">
      <alignment horizontal="center" vertical="center" wrapText="1"/>
      <protection hidden="1"/>
    </xf>
    <xf numFmtId="0" fontId="8" fillId="7" borderId="2" xfId="0" applyFont="1" applyFill="1" applyBorder="1" applyAlignment="1">
      <alignment horizontal="center" vertical="top" wrapText="1"/>
    </xf>
    <xf numFmtId="0" fontId="35" fillId="7" borderId="2" xfId="0" applyFont="1" applyFill="1" applyBorder="1" applyAlignment="1">
      <alignment horizontal="center" vertical="center"/>
    </xf>
    <xf numFmtId="166" fontId="0" fillId="4" borderId="2" xfId="0" applyNumberFormat="1" applyFill="1" applyBorder="1" applyProtection="1">
      <protection hidden="1"/>
    </xf>
    <xf numFmtId="0" fontId="23" fillId="16" borderId="66" xfId="4" applyFont="1" applyFill="1" applyBorder="1" applyAlignment="1">
      <alignment horizontal="justify" vertical="center"/>
    </xf>
    <xf numFmtId="0" fontId="23" fillId="17" borderId="66" xfId="4" applyNumberFormat="1" applyFont="1" applyFill="1" applyBorder="1" applyAlignment="1">
      <alignment horizontal="justify" vertical="center" wrapText="1"/>
    </xf>
    <xf numFmtId="0" fontId="23" fillId="17" borderId="66" xfId="4" applyNumberFormat="1" applyFont="1" applyFill="1" applyBorder="1" applyAlignment="1">
      <alignment horizontal="justify" vertical="center"/>
    </xf>
    <xf numFmtId="0" fontId="23" fillId="17" borderId="67" xfId="4" applyNumberFormat="1" applyFont="1" applyFill="1" applyBorder="1" applyAlignment="1">
      <alignment horizontal="justify" vertical="center"/>
    </xf>
    <xf numFmtId="0" fontId="0" fillId="0" borderId="0" xfId="0" applyAlignment="1">
      <alignment horizontal="center"/>
    </xf>
    <xf numFmtId="0" fontId="29" fillId="16" borderId="62" xfId="4" applyFont="1" applyFill="1" applyBorder="1" applyAlignment="1">
      <alignment horizontal="justify" vertical="center" wrapText="1"/>
    </xf>
    <xf numFmtId="0" fontId="29" fillId="16" borderId="50" xfId="4" applyFont="1" applyFill="1" applyBorder="1" applyAlignment="1">
      <alignment horizontal="justify" vertical="center" wrapText="1"/>
    </xf>
    <xf numFmtId="0" fontId="29" fillId="16" borderId="51" xfId="4" applyFont="1" applyFill="1" applyBorder="1" applyAlignment="1">
      <alignment horizontal="justify" vertical="center" wrapText="1"/>
    </xf>
    <xf numFmtId="0" fontId="23" fillId="16" borderId="62" xfId="4" applyFont="1" applyFill="1" applyBorder="1" applyAlignment="1">
      <alignment horizontal="justify" vertical="center" wrapText="1"/>
    </xf>
    <xf numFmtId="0" fontId="23" fillId="16" borderId="50" xfId="4" applyFont="1" applyFill="1" applyBorder="1" applyAlignment="1">
      <alignment horizontal="justify" vertical="center" wrapText="1"/>
    </xf>
    <xf numFmtId="0" fontId="23" fillId="16" borderId="51" xfId="4" applyFont="1" applyFill="1" applyBorder="1" applyAlignment="1">
      <alignment horizontal="justify" vertical="center" wrapText="1"/>
    </xf>
    <xf numFmtId="0" fontId="23" fillId="16" borderId="63" xfId="4" applyFont="1" applyFill="1" applyBorder="1" applyAlignment="1">
      <alignment horizontal="justify" vertical="center" wrapText="1"/>
    </xf>
    <xf numFmtId="0" fontId="23" fillId="16" borderId="64" xfId="4" applyFont="1" applyFill="1" applyBorder="1" applyAlignment="1">
      <alignment horizontal="justify" vertical="center" wrapText="1"/>
    </xf>
    <xf numFmtId="0" fontId="23" fillId="16" borderId="59" xfId="4" applyFont="1" applyFill="1" applyBorder="1" applyAlignment="1">
      <alignment horizontal="justify" vertical="center" wrapText="1"/>
    </xf>
    <xf numFmtId="0" fontId="26" fillId="15" borderId="3" xfId="4" applyFont="1" applyFill="1" applyBorder="1" applyAlignment="1">
      <alignment horizontal="center" vertical="center"/>
    </xf>
    <xf numFmtId="0" fontId="26" fillId="15" borderId="4" xfId="4" applyFont="1" applyFill="1" applyBorder="1" applyAlignment="1">
      <alignment horizontal="center" vertical="center"/>
    </xf>
    <xf numFmtId="0" fontId="26" fillId="15" borderId="5" xfId="4" applyFont="1" applyFill="1" applyBorder="1" applyAlignment="1">
      <alignment horizontal="center" vertical="center"/>
    </xf>
    <xf numFmtId="0" fontId="23" fillId="17" borderId="15" xfId="4" applyNumberFormat="1" applyFont="1" applyFill="1" applyBorder="1" applyAlignment="1">
      <alignment horizontal="justify" vertical="center"/>
    </xf>
    <xf numFmtId="0" fontId="23" fillId="17" borderId="0" xfId="4" applyNumberFormat="1" applyFont="1" applyFill="1" applyBorder="1" applyAlignment="1">
      <alignment horizontal="justify" vertical="center"/>
    </xf>
    <xf numFmtId="0" fontId="23" fillId="17" borderId="55" xfId="4" applyNumberFormat="1" applyFont="1" applyFill="1" applyBorder="1" applyAlignment="1">
      <alignment horizontal="justify" vertical="center"/>
    </xf>
    <xf numFmtId="0" fontId="23" fillId="17" borderId="35" xfId="4" applyFont="1" applyFill="1" applyBorder="1" applyAlignment="1">
      <alignment horizontal="justify" vertical="center" wrapText="1"/>
    </xf>
    <xf numFmtId="0" fontId="23" fillId="17" borderId="1" xfId="4" applyFont="1" applyFill="1" applyBorder="1" applyAlignment="1">
      <alignment horizontal="justify" vertical="center" wrapText="1"/>
    </xf>
    <xf numFmtId="0" fontId="23" fillId="17" borderId="36" xfId="4" applyFont="1" applyFill="1" applyBorder="1" applyAlignment="1">
      <alignment horizontal="justify" vertical="center" wrapText="1"/>
    </xf>
    <xf numFmtId="0" fontId="23" fillId="17" borderId="43" xfId="4" applyFont="1" applyFill="1" applyBorder="1" applyAlignment="1">
      <alignment horizontal="left" vertical="center"/>
    </xf>
    <xf numFmtId="0" fontId="23" fillId="17" borderId="56" xfId="4" applyFont="1" applyFill="1" applyBorder="1" applyAlignment="1">
      <alignment horizontal="left" vertical="center"/>
    </xf>
    <xf numFmtId="0" fontId="23" fillId="17" borderId="46" xfId="4" applyFont="1" applyFill="1" applyBorder="1" applyAlignment="1">
      <alignment horizontal="left" vertical="center"/>
    </xf>
    <xf numFmtId="0" fontId="23" fillId="17" borderId="49" xfId="4" applyFont="1" applyFill="1" applyBorder="1" applyAlignment="1">
      <alignment horizontal="left" vertical="center"/>
    </xf>
    <xf numFmtId="0" fontId="21" fillId="15" borderId="3" xfId="3" applyFont="1" applyFill="1" applyBorder="1" applyAlignment="1">
      <alignment horizontal="center" vertical="center" wrapText="1"/>
    </xf>
    <xf numFmtId="0" fontId="22" fillId="15" borderId="4" xfId="3" applyFont="1" applyFill="1" applyBorder="1" applyAlignment="1">
      <alignment horizontal="center" vertical="center" wrapText="1"/>
    </xf>
    <xf numFmtId="0" fontId="22" fillId="15" borderId="5" xfId="3" applyFont="1" applyFill="1" applyBorder="1" applyAlignment="1">
      <alignment horizontal="center" vertical="center" wrapText="1"/>
    </xf>
    <xf numFmtId="0" fontId="23" fillId="17" borderId="10" xfId="3" applyNumberFormat="1" applyFont="1" applyFill="1" applyBorder="1" applyAlignment="1">
      <alignment horizontal="justify" vertical="center" wrapText="1"/>
    </xf>
    <xf numFmtId="0" fontId="23" fillId="17" borderId="11" xfId="3" applyNumberFormat="1" applyFont="1" applyFill="1" applyBorder="1" applyAlignment="1">
      <alignment horizontal="justify" vertical="center" wrapText="1"/>
    </xf>
    <xf numFmtId="0" fontId="26" fillId="15" borderId="3" xfId="4" applyFont="1" applyFill="1" applyBorder="1" applyAlignment="1">
      <alignment horizontal="center" vertical="center" wrapText="1"/>
    </xf>
    <xf numFmtId="0" fontId="26" fillId="15" borderId="4" xfId="4" applyFont="1" applyFill="1" applyBorder="1" applyAlignment="1">
      <alignment horizontal="center" vertical="center" wrapText="1"/>
    </xf>
    <xf numFmtId="0" fontId="26" fillId="15" borderId="5" xfId="4" applyFont="1" applyFill="1" applyBorder="1" applyAlignment="1">
      <alignment horizontal="center" vertical="center" wrapText="1"/>
    </xf>
    <xf numFmtId="0" fontId="23" fillId="16" borderId="15" xfId="4" applyFont="1" applyFill="1" applyBorder="1" applyAlignment="1">
      <alignment horizontal="justify" vertical="center" wrapText="1"/>
    </xf>
    <xf numFmtId="0" fontId="23" fillId="16" borderId="0" xfId="4" applyFont="1" applyFill="1" applyBorder="1" applyAlignment="1">
      <alignment horizontal="justify" vertical="center"/>
    </xf>
    <xf numFmtId="0" fontId="23" fillId="16" borderId="55" xfId="4" applyFont="1" applyFill="1" applyBorder="1" applyAlignment="1">
      <alignment horizontal="justify" vertical="center"/>
    </xf>
    <xf numFmtId="0" fontId="23" fillId="16" borderId="65" xfId="4" applyFont="1" applyFill="1" applyBorder="1" applyAlignment="1">
      <alignment horizontal="justify" vertical="center"/>
    </xf>
    <xf numFmtId="0" fontId="23" fillId="17" borderId="53" xfId="4" applyFont="1" applyFill="1" applyBorder="1" applyAlignment="1">
      <alignment horizontal="left" vertical="center"/>
    </xf>
    <xf numFmtId="0" fontId="23" fillId="17" borderId="58" xfId="4" applyFont="1" applyFill="1" applyBorder="1" applyAlignment="1">
      <alignment horizontal="left" vertical="center"/>
    </xf>
    <xf numFmtId="0" fontId="27" fillId="16" borderId="60" xfId="4" applyFont="1" applyFill="1" applyBorder="1" applyAlignment="1">
      <alignment horizontal="justify" vertical="top" wrapText="1"/>
    </xf>
    <xf numFmtId="0" fontId="27" fillId="16" borderId="61" xfId="4" applyFont="1" applyFill="1" applyBorder="1" applyAlignment="1">
      <alignment horizontal="justify" vertical="top" wrapText="1"/>
    </xf>
    <xf numFmtId="0" fontId="27" fillId="16" borderId="57" xfId="4" applyFont="1" applyFill="1" applyBorder="1" applyAlignment="1">
      <alignment horizontal="justify" vertical="top" wrapText="1"/>
    </xf>
    <xf numFmtId="0" fontId="28" fillId="16" borderId="62" xfId="4" applyFont="1" applyFill="1" applyBorder="1" applyAlignment="1">
      <alignment horizontal="justify" vertical="center" wrapText="1"/>
    </xf>
    <xf numFmtId="0" fontId="28" fillId="16" borderId="50" xfId="4" applyFont="1" applyFill="1" applyBorder="1" applyAlignment="1">
      <alignment horizontal="justify" vertical="center" wrapText="1"/>
    </xf>
    <xf numFmtId="0" fontId="28" fillId="16" borderId="51" xfId="4" applyFont="1" applyFill="1" applyBorder="1" applyAlignment="1">
      <alignment horizontal="justify" vertical="center" wrapText="1"/>
    </xf>
    <xf numFmtId="0" fontId="23" fillId="16" borderId="15" xfId="4" applyFont="1" applyFill="1" applyBorder="1" applyAlignment="1">
      <alignment horizontal="left" vertical="center" wrapText="1"/>
    </xf>
    <xf numFmtId="0" fontId="23" fillId="16" borderId="0" xfId="4" applyFont="1" applyFill="1" applyBorder="1" applyAlignment="1">
      <alignment horizontal="left" vertical="center" wrapText="1"/>
    </xf>
    <xf numFmtId="0" fontId="23" fillId="16" borderId="55" xfId="4" applyFont="1" applyFill="1" applyBorder="1" applyAlignment="1">
      <alignment horizontal="left" vertical="center" wrapText="1"/>
    </xf>
    <xf numFmtId="0" fontId="19" fillId="15" borderId="3" xfId="3" applyFont="1" applyFill="1" applyBorder="1" applyAlignment="1">
      <alignment vertical="center" wrapText="1"/>
    </xf>
    <xf numFmtId="0" fontId="19" fillId="15" borderId="4" xfId="3" applyFont="1" applyFill="1" applyBorder="1" applyAlignment="1">
      <alignment vertical="center" wrapText="1"/>
    </xf>
    <xf numFmtId="0" fontId="19" fillId="15" borderId="5" xfId="3" applyFont="1" applyFill="1" applyBorder="1" applyAlignment="1">
      <alignment vertical="center" wrapText="1"/>
    </xf>
    <xf numFmtId="0" fontId="10" fillId="0" borderId="43" xfId="2" applyBorder="1" applyAlignment="1" applyProtection="1">
      <alignment vertical="center"/>
    </xf>
    <xf numFmtId="0" fontId="10" fillId="0" borderId="43" xfId="2" applyBorder="1" applyAlignment="1" applyProtection="1"/>
    <xf numFmtId="0" fontId="10" fillId="0" borderId="44" xfId="2" applyBorder="1" applyAlignment="1" applyProtection="1"/>
    <xf numFmtId="0" fontId="10" fillId="0" borderId="46" xfId="2" applyBorder="1" applyAlignment="1" applyProtection="1">
      <alignment vertical="center"/>
    </xf>
    <xf numFmtId="0" fontId="10" fillId="0" borderId="47" xfId="2" applyBorder="1" applyAlignment="1" applyProtection="1">
      <alignment vertical="center"/>
    </xf>
    <xf numFmtId="0" fontId="10" fillId="0" borderId="49" xfId="2" applyBorder="1" applyAlignment="1" applyProtection="1">
      <alignment vertical="center"/>
    </xf>
    <xf numFmtId="0" fontId="10" fillId="0" borderId="50" xfId="2" applyBorder="1" applyAlignment="1" applyProtection="1">
      <alignment vertical="center"/>
    </xf>
    <xf numFmtId="0" fontId="10" fillId="0" borderId="51" xfId="2" applyBorder="1" applyAlignment="1" applyProtection="1">
      <alignment vertical="center"/>
    </xf>
    <xf numFmtId="0" fontId="10" fillId="0" borderId="53" xfId="2" applyBorder="1" applyAlignment="1" applyProtection="1">
      <alignment vertical="center"/>
    </xf>
    <xf numFmtId="0" fontId="10" fillId="0" borderId="54" xfId="2" applyBorder="1" applyAlignment="1" applyProtection="1">
      <alignment vertical="center"/>
    </xf>
    <xf numFmtId="0" fontId="0" fillId="5" borderId="2" xfId="0" applyFill="1" applyBorder="1" applyAlignment="1" applyProtection="1">
      <alignment horizontal="left" vertical="center"/>
      <protection hidden="1"/>
    </xf>
    <xf numFmtId="0" fontId="0" fillId="0" borderId="1" xfId="0" applyBorder="1" applyAlignment="1">
      <alignment horizontal="center"/>
    </xf>
    <xf numFmtId="0" fontId="4" fillId="2" borderId="2" xfId="0" applyFont="1" applyFill="1" applyBorder="1" applyAlignment="1" applyProtection="1">
      <alignment horizontal="center" vertical="center"/>
      <protection hidden="1"/>
    </xf>
    <xf numFmtId="0" fontId="0" fillId="5" borderId="3" xfId="0" applyFill="1" applyBorder="1" applyAlignment="1" applyProtection="1">
      <alignment horizontal="center" vertical="center"/>
      <protection hidden="1"/>
    </xf>
    <xf numFmtId="0" fontId="0" fillId="5" borderId="4" xfId="0" applyFill="1" applyBorder="1" applyAlignment="1" applyProtection="1">
      <alignment horizontal="center" vertical="center"/>
      <protection hidden="1"/>
    </xf>
    <xf numFmtId="0" fontId="0" fillId="5" borderId="5" xfId="0" applyFill="1" applyBorder="1" applyAlignment="1" applyProtection="1">
      <alignment horizontal="center" vertical="center"/>
      <protection hidden="1"/>
    </xf>
    <xf numFmtId="0" fontId="2" fillId="5" borderId="2" xfId="0" applyFont="1" applyFill="1" applyBorder="1" applyAlignment="1" applyProtection="1">
      <alignment horizontal="left" vertical="center" wrapText="1"/>
      <protection hidden="1"/>
    </xf>
    <xf numFmtId="0" fontId="0" fillId="5" borderId="2" xfId="0" applyFill="1" applyBorder="1" applyAlignment="1" applyProtection="1">
      <alignment horizontal="left" vertical="center" wrapText="1"/>
      <protection hidden="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49" fontId="7" fillId="4" borderId="22" xfId="0" applyNumberFormat="1" applyFont="1" applyFill="1" applyBorder="1" applyAlignment="1" applyProtection="1">
      <alignment horizontal="center" vertical="top" wrapText="1"/>
      <protection locked="0"/>
    </xf>
    <xf numFmtId="49" fontId="7" fillId="0" borderId="23" xfId="0" applyNumberFormat="1" applyFont="1" applyBorder="1" applyAlignment="1" applyProtection="1">
      <alignment horizontal="center" vertical="top" wrapText="1"/>
      <protection locked="0"/>
    </xf>
    <xf numFmtId="0" fontId="0" fillId="0" borderId="0" xfId="0" applyAlignment="1">
      <alignment horizontal="left"/>
    </xf>
    <xf numFmtId="0" fontId="0" fillId="0" borderId="1" xfId="0" applyBorder="1" applyAlignment="1">
      <alignment horizontal="left"/>
    </xf>
    <xf numFmtId="49" fontId="0" fillId="4" borderId="3" xfId="0" applyNumberFormat="1" applyFill="1" applyBorder="1" applyAlignment="1" applyProtection="1">
      <alignment horizontal="center" vertical="center"/>
    </xf>
    <xf numFmtId="49" fontId="0" fillId="6" borderId="5" xfId="0" applyNumberFormat="1" applyFill="1" applyBorder="1" applyAlignment="1" applyProtection="1">
      <alignment horizontal="center" vertical="center"/>
    </xf>
    <xf numFmtId="165" fontId="0" fillId="4" borderId="3" xfId="0" applyNumberFormat="1" applyFont="1" applyFill="1" applyBorder="1" applyAlignment="1" applyProtection="1">
      <alignment horizontal="center" vertical="center"/>
    </xf>
    <xf numFmtId="165" fontId="0" fillId="6" borderId="5" xfId="0" applyNumberFormat="1" applyFont="1" applyFill="1" applyBorder="1" applyAlignment="1" applyProtection="1">
      <alignment horizontal="center" vertical="center"/>
    </xf>
    <xf numFmtId="0" fontId="32" fillId="2" borderId="3" xfId="0" applyFont="1" applyFill="1" applyBorder="1" applyAlignment="1">
      <alignment horizontal="center" vertical="center"/>
    </xf>
    <xf numFmtId="0" fontId="32" fillId="2" borderId="4" xfId="0" applyFont="1" applyFill="1" applyBorder="1" applyAlignment="1">
      <alignment horizontal="center" vertical="center"/>
    </xf>
    <xf numFmtId="0" fontId="32" fillId="2" borderId="5" xfId="0" applyFont="1" applyFill="1" applyBorder="1" applyAlignment="1">
      <alignment horizontal="center" vertical="center"/>
    </xf>
    <xf numFmtId="0" fontId="3" fillId="7" borderId="3" xfId="0" applyFont="1" applyFill="1" applyBorder="1" applyAlignment="1">
      <alignment horizontal="left" vertical="center" wrapText="1"/>
    </xf>
    <xf numFmtId="0" fontId="3" fillId="4" borderId="4" xfId="0" applyFont="1" applyFill="1" applyBorder="1" applyAlignment="1">
      <alignment horizontal="left" vertical="center" wrapText="1"/>
    </xf>
    <xf numFmtId="0" fontId="3" fillId="7" borderId="4" xfId="0" applyFont="1" applyFill="1" applyBorder="1" applyAlignment="1">
      <alignment horizontal="left" vertical="center" wrapText="1"/>
    </xf>
    <xf numFmtId="0" fontId="32" fillId="2" borderId="10" xfId="0" applyFont="1" applyFill="1" applyBorder="1" applyAlignment="1">
      <alignment horizontal="center" vertical="center" wrapText="1"/>
    </xf>
    <xf numFmtId="0" fontId="3" fillId="7" borderId="2" xfId="0" applyFont="1" applyFill="1" applyBorder="1" applyAlignment="1" applyProtection="1">
      <alignment horizontal="center" vertical="center" wrapText="1"/>
      <protection hidden="1"/>
    </xf>
    <xf numFmtId="0" fontId="32" fillId="2" borderId="3" xfId="0" applyFont="1" applyFill="1" applyBorder="1" applyAlignment="1">
      <alignment horizontal="center" vertical="center" wrapText="1"/>
    </xf>
    <xf numFmtId="0" fontId="32" fillId="2" borderId="4" xfId="0" applyFont="1" applyFill="1" applyBorder="1" applyAlignment="1">
      <alignment horizontal="center" vertical="center" wrapText="1"/>
    </xf>
    <xf numFmtId="0" fontId="32" fillId="2" borderId="5" xfId="0" applyFont="1" applyFill="1" applyBorder="1" applyAlignment="1">
      <alignment horizontal="center" vertical="center" wrapText="1"/>
    </xf>
    <xf numFmtId="0" fontId="32" fillId="2" borderId="3" xfId="0" applyFont="1" applyFill="1" applyBorder="1" applyAlignment="1" applyProtection="1">
      <alignment horizontal="center" vertical="center" wrapText="1"/>
      <protection hidden="1"/>
    </xf>
    <xf numFmtId="0" fontId="32" fillId="2" borderId="4" xfId="0" applyFont="1" applyFill="1" applyBorder="1" applyAlignment="1" applyProtection="1">
      <alignment horizontal="center" vertical="center" wrapText="1"/>
      <protection hidden="1"/>
    </xf>
    <xf numFmtId="0" fontId="32" fillId="2" borderId="5" xfId="0" applyFont="1" applyFill="1" applyBorder="1" applyAlignment="1" applyProtection="1">
      <alignment horizontal="center" vertical="center" wrapText="1"/>
      <protection hidden="1"/>
    </xf>
    <xf numFmtId="0" fontId="3" fillId="0" borderId="3" xfId="0" applyFont="1" applyFill="1" applyBorder="1" applyAlignment="1" applyProtection="1">
      <alignment horizontal="left" vertical="center" wrapText="1"/>
      <protection hidden="1"/>
    </xf>
    <xf numFmtId="0" fontId="3" fillId="0" borderId="5" xfId="0" applyFont="1" applyFill="1" applyBorder="1" applyAlignment="1" applyProtection="1">
      <alignment horizontal="left" vertical="center" wrapText="1"/>
      <protection hidden="1"/>
    </xf>
    <xf numFmtId="0" fontId="3" fillId="0" borderId="3" xfId="0" applyFont="1" applyBorder="1" applyAlignment="1">
      <alignment horizontal="left" vertical="center" wrapText="1"/>
    </xf>
    <xf numFmtId="0" fontId="3" fillId="0" borderId="4" xfId="0" applyFont="1" applyBorder="1" applyAlignment="1">
      <alignment horizontal="left" vertical="center" wrapText="1"/>
    </xf>
    <xf numFmtId="0" fontId="3" fillId="0" borderId="5" xfId="0" applyFont="1" applyBorder="1" applyAlignment="1">
      <alignment horizontal="left" vertical="center" wrapText="1"/>
    </xf>
    <xf numFmtId="0" fontId="32" fillId="2" borderId="69" xfId="0" applyFont="1" applyFill="1" applyBorder="1" applyAlignment="1">
      <alignment horizontal="center" vertical="center" wrapText="1"/>
    </xf>
    <xf numFmtId="0" fontId="32" fillId="2" borderId="70" xfId="0" applyFont="1" applyFill="1" applyBorder="1" applyAlignment="1">
      <alignment horizontal="center" vertical="center" wrapText="1"/>
    </xf>
    <xf numFmtId="0" fontId="14" fillId="0" borderId="3" xfId="0" applyFont="1" applyBorder="1" applyAlignment="1" applyProtection="1">
      <alignment horizontal="center"/>
      <protection hidden="1"/>
    </xf>
    <xf numFmtId="0" fontId="14" fillId="0" borderId="4" xfId="0" applyFont="1" applyBorder="1" applyAlignment="1" applyProtection="1">
      <alignment horizontal="center"/>
      <protection hidden="1"/>
    </xf>
    <xf numFmtId="0" fontId="14" fillId="0" borderId="5" xfId="0" applyFont="1" applyBorder="1" applyAlignment="1" applyProtection="1">
      <alignment horizontal="center"/>
      <protection hidden="1"/>
    </xf>
    <xf numFmtId="0" fontId="0" fillId="0" borderId="0" xfId="0" applyNumberFormat="1" applyAlignment="1">
      <alignment horizontal="center" wrapText="1"/>
    </xf>
    <xf numFmtId="0" fontId="0" fillId="0" borderId="1" xfId="0" applyNumberFormat="1" applyBorder="1" applyAlignment="1">
      <alignment horizontal="center" wrapText="1"/>
    </xf>
    <xf numFmtId="0" fontId="3" fillId="3" borderId="3" xfId="0" applyFont="1" applyFill="1" applyBorder="1" applyAlignment="1">
      <alignment horizontal="left" vertical="center" wrapText="1"/>
    </xf>
    <xf numFmtId="0" fontId="0" fillId="0" borderId="5" xfId="0" applyBorder="1" applyAlignment="1">
      <alignment horizontal="left" vertical="center" wrapText="1"/>
    </xf>
    <xf numFmtId="0" fontId="14" fillId="6" borderId="4" xfId="0" applyFont="1" applyFill="1" applyBorder="1" applyAlignment="1" applyProtection="1">
      <alignment horizontal="center"/>
      <protection hidden="1"/>
    </xf>
    <xf numFmtId="0" fontId="14" fillId="6" borderId="5" xfId="0" applyFont="1" applyFill="1" applyBorder="1" applyAlignment="1" applyProtection="1">
      <alignment horizontal="center"/>
      <protection hidden="1"/>
    </xf>
    <xf numFmtId="0" fontId="3" fillId="7" borderId="3" xfId="0" applyFont="1" applyFill="1" applyBorder="1" applyAlignment="1">
      <alignment horizontal="center" vertical="center" wrapText="1"/>
    </xf>
    <xf numFmtId="0" fontId="3" fillId="7" borderId="4"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2" xfId="0" applyBorder="1" applyAlignment="1">
      <alignment horizontal="left"/>
    </xf>
    <xf numFmtId="0" fontId="0" fillId="0" borderId="15" xfId="0" applyBorder="1" applyAlignment="1">
      <alignment horizontal="left"/>
    </xf>
    <xf numFmtId="0" fontId="0" fillId="0" borderId="30" xfId="0" applyBorder="1" applyAlignment="1">
      <alignment horizontal="left" indent="1"/>
    </xf>
    <xf numFmtId="0" fontId="0" fillId="0" borderId="38" xfId="0" applyBorder="1" applyAlignment="1">
      <alignment horizontal="left" indent="1"/>
    </xf>
    <xf numFmtId="0" fontId="0" fillId="0" borderId="38" xfId="0" applyBorder="1" applyAlignment="1">
      <alignment horizontal="left"/>
    </xf>
    <xf numFmtId="0" fontId="0" fillId="9" borderId="39" xfId="0" applyFill="1" applyBorder="1" applyAlignment="1">
      <alignment horizontal="left"/>
    </xf>
    <xf numFmtId="0" fontId="0" fillId="9" borderId="40" xfId="0" applyFill="1" applyBorder="1" applyAlignment="1">
      <alignment horizontal="left"/>
    </xf>
    <xf numFmtId="0" fontId="0" fillId="0" borderId="29" xfId="0" applyBorder="1" applyAlignment="1">
      <alignment horizontal="left" indent="1"/>
    </xf>
    <xf numFmtId="0" fontId="0" fillId="9" borderId="35" xfId="0" applyFill="1" applyBorder="1" applyAlignment="1">
      <alignment horizontal="left"/>
    </xf>
    <xf numFmtId="0" fontId="0" fillId="9" borderId="36" xfId="0" applyFill="1" applyBorder="1" applyAlignment="1">
      <alignment horizontal="left"/>
    </xf>
    <xf numFmtId="0" fontId="0" fillId="9" borderId="27" xfId="0" applyFill="1" applyBorder="1" applyAlignment="1">
      <alignment horizontal="left"/>
    </xf>
    <xf numFmtId="0" fontId="0" fillId="9" borderId="28" xfId="0" applyFill="1" applyBorder="1" applyAlignment="1">
      <alignment horizontal="left"/>
    </xf>
    <xf numFmtId="0" fontId="0" fillId="0" borderId="30" xfId="0" applyBorder="1" applyAlignment="1">
      <alignment horizontal="left"/>
    </xf>
    <xf numFmtId="0" fontId="5" fillId="0" borderId="30" xfId="0" applyFont="1" applyFill="1" applyBorder="1" applyAlignment="1" applyProtection="1">
      <alignment horizontal="right" vertical="center"/>
      <protection hidden="1"/>
    </xf>
    <xf numFmtId="0" fontId="5" fillId="0" borderId="31" xfId="0" applyFont="1" applyFill="1" applyBorder="1" applyAlignment="1" applyProtection="1">
      <alignment horizontal="right" vertical="center"/>
      <protection hidden="1"/>
    </xf>
    <xf numFmtId="0" fontId="3" fillId="12" borderId="2" xfId="0" applyFont="1" applyFill="1" applyBorder="1" applyAlignment="1">
      <alignment horizontal="left"/>
    </xf>
    <xf numFmtId="0" fontId="3" fillId="12" borderId="3" xfId="0" applyFont="1" applyFill="1" applyBorder="1" applyAlignment="1">
      <alignment horizontal="left"/>
    </xf>
    <xf numFmtId="0" fontId="0" fillId="0" borderId="29" xfId="0" applyBorder="1" applyAlignment="1">
      <alignment horizontal="left"/>
    </xf>
    <xf numFmtId="0" fontId="0" fillId="0" borderId="32" xfId="0" applyBorder="1" applyAlignment="1">
      <alignment horizontal="left"/>
    </xf>
    <xf numFmtId="0" fontId="0" fillId="0" borderId="31" xfId="0" applyBorder="1" applyAlignment="1">
      <alignment horizontal="left"/>
    </xf>
    <xf numFmtId="0" fontId="0" fillId="0" borderId="34" xfId="0" applyBorder="1" applyAlignment="1">
      <alignment horizontal="left"/>
    </xf>
    <xf numFmtId="0" fontId="0" fillId="7" borderId="2" xfId="0" applyFill="1" applyBorder="1" applyAlignment="1">
      <alignment horizontal="left"/>
    </xf>
    <xf numFmtId="0" fontId="0" fillId="7" borderId="3" xfId="0" applyFill="1" applyBorder="1" applyAlignment="1">
      <alignment horizontal="left"/>
    </xf>
    <xf numFmtId="0" fontId="0" fillId="0" borderId="10" xfId="0" applyBorder="1" applyAlignment="1">
      <alignment horizontal="left"/>
    </xf>
    <xf numFmtId="0" fontId="0" fillId="7" borderId="2" xfId="0" applyFill="1" applyBorder="1" applyAlignment="1">
      <alignment horizontal="left" vertical="top"/>
    </xf>
    <xf numFmtId="0" fontId="0" fillId="7" borderId="11" xfId="0" applyFill="1" applyBorder="1" applyAlignment="1">
      <alignment horizontal="left"/>
    </xf>
    <xf numFmtId="0" fontId="0" fillId="7" borderId="4" xfId="0" applyFill="1" applyBorder="1" applyAlignment="1">
      <alignment horizontal="left"/>
    </xf>
    <xf numFmtId="0" fontId="0" fillId="9" borderId="37" xfId="0" applyFill="1" applyBorder="1" applyAlignment="1">
      <alignment horizontal="left"/>
    </xf>
    <xf numFmtId="0" fontId="3" fillId="3" borderId="0" xfId="0" applyFont="1" applyFill="1" applyBorder="1" applyAlignment="1">
      <alignment horizontal="center" vertical="center" wrapText="1"/>
    </xf>
    <xf numFmtId="0" fontId="0" fillId="0" borderId="10" xfId="0" applyBorder="1" applyAlignment="1">
      <alignment vertical="top"/>
    </xf>
    <xf numFmtId="0" fontId="0" fillId="7" borderId="2" xfId="0" applyFill="1" applyBorder="1" applyAlignment="1">
      <alignment horizontal="left" vertical="center"/>
    </xf>
  </cellXfs>
  <cellStyles count="5">
    <cellStyle name="Comma" xfId="1" builtinId="3"/>
    <cellStyle name="Hyperlink" xfId="2" builtinId="8"/>
    <cellStyle name="Normal" xfId="0" builtinId="0"/>
    <cellStyle name="Normal 2" xfId="4"/>
    <cellStyle name="Normal 2 4" xfId="3"/>
  </cellStyles>
  <dxfs count="6">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BFBFBF"/>
      <color rgb="FF92CD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9</xdr:col>
      <xdr:colOff>485775</xdr:colOff>
      <xdr:row>0</xdr:row>
      <xdr:rowOff>47625</xdr:rowOff>
    </xdr:from>
    <xdr:to>
      <xdr:col>10</xdr:col>
      <xdr:colOff>142876</xdr:colOff>
      <xdr:row>5</xdr:row>
      <xdr:rowOff>70746</xdr:rowOff>
    </xdr:to>
    <xdr:pic>
      <xdr:nvPicPr>
        <xdr:cNvPr id="3" name="Picture 2">
          <a:extLst>
            <a:ext uri="{FF2B5EF4-FFF2-40B4-BE49-F238E27FC236}">
              <a16:creationId xmlns:a16="http://schemas.microsoft.com/office/drawing/2014/main" xmlns="" id="{49A2DAF8-ABFD-449A-A1D7-691BE9AB72E3}"/>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272" t="33681" r="14497" b="27777"/>
        <a:stretch/>
      </xdr:blipFill>
      <xdr:spPr>
        <a:xfrm>
          <a:off x="7524750" y="47625"/>
          <a:ext cx="2133601" cy="9756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85725</xdr:colOff>
      <xdr:row>5</xdr:row>
      <xdr:rowOff>28575</xdr:rowOff>
    </xdr:from>
    <xdr:to>
      <xdr:col>4</xdr:col>
      <xdr:colOff>962025</xdr:colOff>
      <xdr:row>6</xdr:row>
      <xdr:rowOff>142875</xdr:rowOff>
    </xdr:to>
    <xdr:sp macro="[0]!home" textlink="">
      <xdr:nvSpPr>
        <xdr:cNvPr id="2" name="Rounded Rectangle 1">
          <a:extLst>
            <a:ext uri="{FF2B5EF4-FFF2-40B4-BE49-F238E27FC236}">
              <a16:creationId xmlns:a16="http://schemas.microsoft.com/office/drawing/2014/main" xmlns="" id="{00000000-0008-0000-0100-000002000000}"/>
            </a:ext>
          </a:extLst>
        </xdr:cNvPr>
        <xdr:cNvSpPr/>
      </xdr:nvSpPr>
      <xdr:spPr>
        <a:xfrm>
          <a:off x="695325" y="276225"/>
          <a:ext cx="876300" cy="304800"/>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4</xdr:col>
      <xdr:colOff>1057275</xdr:colOff>
      <xdr:row>5</xdr:row>
      <xdr:rowOff>28575</xdr:rowOff>
    </xdr:from>
    <xdr:to>
      <xdr:col>4</xdr:col>
      <xdr:colOff>1933575</xdr:colOff>
      <xdr:row>6</xdr:row>
      <xdr:rowOff>142875</xdr:rowOff>
    </xdr:to>
    <xdr:sp macro="[0]!'GenerateGenralInfo 1'" textlink="">
      <xdr:nvSpPr>
        <xdr:cNvPr id="3" name="Rounded Rectangle 2">
          <a:extLst>
            <a:ext uri="{FF2B5EF4-FFF2-40B4-BE49-F238E27FC236}">
              <a16:creationId xmlns:a16="http://schemas.microsoft.com/office/drawing/2014/main" xmlns="" id="{00000000-0008-0000-0100-000003000000}"/>
            </a:ext>
          </a:extLst>
        </xdr:cNvPr>
        <xdr:cNvSpPr/>
      </xdr:nvSpPr>
      <xdr:spPr>
        <a:xfrm>
          <a:off x="1666875" y="276225"/>
          <a:ext cx="876300" cy="304800"/>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76200</xdr:colOff>
      <xdr:row>5</xdr:row>
      <xdr:rowOff>28575</xdr:rowOff>
    </xdr:from>
    <xdr:to>
      <xdr:col>5</xdr:col>
      <xdr:colOff>38100</xdr:colOff>
      <xdr:row>6</xdr:row>
      <xdr:rowOff>133350</xdr:rowOff>
    </xdr:to>
    <xdr:sp macro="[0]!home" textlink="">
      <xdr:nvSpPr>
        <xdr:cNvPr id="2" name="Rounded Rectangle 1">
          <a:extLst>
            <a:ext uri="{FF2B5EF4-FFF2-40B4-BE49-F238E27FC236}">
              <a16:creationId xmlns:a16="http://schemas.microsoft.com/office/drawing/2014/main" xmlns="" id="{00000000-0008-0000-0200-000002000000}"/>
            </a:ext>
          </a:extLst>
        </xdr:cNvPr>
        <xdr:cNvSpPr/>
      </xdr:nvSpPr>
      <xdr:spPr>
        <a:xfrm>
          <a:off x="685800" y="276225"/>
          <a:ext cx="876300" cy="295275"/>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133350</xdr:colOff>
      <xdr:row>5</xdr:row>
      <xdr:rowOff>28575</xdr:rowOff>
    </xdr:from>
    <xdr:to>
      <xdr:col>5</xdr:col>
      <xdr:colOff>1009650</xdr:colOff>
      <xdr:row>6</xdr:row>
      <xdr:rowOff>133350</xdr:rowOff>
    </xdr:to>
    <xdr:sp macro="[0]!'ValDistribution 1'" textlink="">
      <xdr:nvSpPr>
        <xdr:cNvPr id="3" name="Rounded Rectangle 2">
          <a:extLst>
            <a:ext uri="{FF2B5EF4-FFF2-40B4-BE49-F238E27FC236}">
              <a16:creationId xmlns:a16="http://schemas.microsoft.com/office/drawing/2014/main" xmlns="" id="{00000000-0008-0000-0200-000003000000}"/>
            </a:ext>
          </a:extLst>
        </xdr:cNvPr>
        <xdr:cNvSpPr/>
      </xdr:nvSpPr>
      <xdr:spPr>
        <a:xfrm>
          <a:off x="1657350" y="276225"/>
          <a:ext cx="876300" cy="295275"/>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47625</xdr:rowOff>
    </xdr:from>
    <xdr:to>
      <xdr:col>5</xdr:col>
      <xdr:colOff>19050</xdr:colOff>
      <xdr:row>6</xdr:row>
      <xdr:rowOff>142875</xdr:rowOff>
    </xdr:to>
    <xdr:sp macro="[0]!home" textlink="">
      <xdr:nvSpPr>
        <xdr:cNvPr id="2" name="Rounded Rectangle 1">
          <a:extLst>
            <a:ext uri="{FF2B5EF4-FFF2-40B4-BE49-F238E27FC236}">
              <a16:creationId xmlns:a16="http://schemas.microsoft.com/office/drawing/2014/main" xmlns="" id="{00000000-0008-0000-0300-000002000000}"/>
            </a:ext>
          </a:extLst>
        </xdr:cNvPr>
        <xdr:cNvSpPr/>
      </xdr:nvSpPr>
      <xdr:spPr>
        <a:xfrm>
          <a:off x="666750" y="295275"/>
          <a:ext cx="876300" cy="285750"/>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114300</xdr:colOff>
      <xdr:row>5</xdr:row>
      <xdr:rowOff>47625</xdr:rowOff>
    </xdr:from>
    <xdr:to>
      <xdr:col>5</xdr:col>
      <xdr:colOff>990600</xdr:colOff>
      <xdr:row>6</xdr:row>
      <xdr:rowOff>142875</xdr:rowOff>
    </xdr:to>
    <xdr:sp macro="[0]!'ValidateNetAssetValue 1'" textlink="">
      <xdr:nvSpPr>
        <xdr:cNvPr id="3" name="Rounded Rectangle 2">
          <a:extLst>
            <a:ext uri="{FF2B5EF4-FFF2-40B4-BE49-F238E27FC236}">
              <a16:creationId xmlns:a16="http://schemas.microsoft.com/office/drawing/2014/main" xmlns="" id="{00000000-0008-0000-0300-000003000000}"/>
            </a:ext>
          </a:extLst>
        </xdr:cNvPr>
        <xdr:cNvSpPr/>
      </xdr:nvSpPr>
      <xdr:spPr>
        <a:xfrm>
          <a:off x="1638300" y="295275"/>
          <a:ext cx="876300" cy="285750"/>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87796</xdr:colOff>
      <xdr:row>32</xdr:row>
      <xdr:rowOff>42518</xdr:rowOff>
    </xdr:from>
    <xdr:to>
      <xdr:col>5</xdr:col>
      <xdr:colOff>1002196</xdr:colOff>
      <xdr:row>32</xdr:row>
      <xdr:rowOff>316838</xdr:rowOff>
    </xdr:to>
    <xdr:sp macro="[0]!Add_RowDetFundRaised" textlink="">
      <xdr:nvSpPr>
        <xdr:cNvPr id="2" name="Rectangle: Rounded Corners 1">
          <a:extLst>
            <a:ext uri="{FF2B5EF4-FFF2-40B4-BE49-F238E27FC236}">
              <a16:creationId xmlns:a16="http://schemas.microsoft.com/office/drawing/2014/main" xmlns="" id="{00000000-0008-0000-0500-000002000000}"/>
            </a:ext>
          </a:extLst>
        </xdr:cNvPr>
        <xdr:cNvSpPr/>
      </xdr:nvSpPr>
      <xdr:spPr>
        <a:xfrm>
          <a:off x="506896" y="7967318"/>
          <a:ext cx="91440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a:t>
          </a:r>
        </a:p>
      </xdr:txBody>
    </xdr:sp>
    <xdr:clientData/>
  </xdr:twoCellAnchor>
  <xdr:twoCellAnchor>
    <xdr:from>
      <xdr:col>5</xdr:col>
      <xdr:colOff>1126435</xdr:colOff>
      <xdr:row>32</xdr:row>
      <xdr:rowOff>57978</xdr:rowOff>
    </xdr:from>
    <xdr:to>
      <xdr:col>5</xdr:col>
      <xdr:colOff>2040835</xdr:colOff>
      <xdr:row>32</xdr:row>
      <xdr:rowOff>332298</xdr:rowOff>
    </xdr:to>
    <xdr:sp macro="[0]!Del_Form" textlink="">
      <xdr:nvSpPr>
        <xdr:cNvPr id="5" name="Rectangle: Rounded Corners 1">
          <a:extLst>
            <a:ext uri="{FF2B5EF4-FFF2-40B4-BE49-F238E27FC236}">
              <a16:creationId xmlns:a16="http://schemas.microsoft.com/office/drawing/2014/main" xmlns="" id="{00000000-0008-0000-0500-000005000000}"/>
            </a:ext>
          </a:extLst>
        </xdr:cNvPr>
        <xdr:cNvSpPr/>
      </xdr:nvSpPr>
      <xdr:spPr>
        <a:xfrm>
          <a:off x="1545535" y="7982778"/>
          <a:ext cx="91440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Delete</a:t>
          </a:r>
        </a:p>
      </xdr:txBody>
    </xdr:sp>
    <xdr:clientData/>
  </xdr:twoCellAnchor>
  <xdr:twoCellAnchor>
    <xdr:from>
      <xdr:col>4</xdr:col>
      <xdr:colOff>133350</xdr:colOff>
      <xdr:row>6</xdr:row>
      <xdr:rowOff>37685</xdr:rowOff>
    </xdr:from>
    <xdr:to>
      <xdr:col>5</xdr:col>
      <xdr:colOff>733425</xdr:colOff>
      <xdr:row>6</xdr:row>
      <xdr:rowOff>335860</xdr:rowOff>
    </xdr:to>
    <xdr:sp macro="[0]!home" textlink="">
      <xdr:nvSpPr>
        <xdr:cNvPr id="7" name="Rounded Rectangle 6">
          <a:extLst>
            <a:ext uri="{FF2B5EF4-FFF2-40B4-BE49-F238E27FC236}">
              <a16:creationId xmlns:a16="http://schemas.microsoft.com/office/drawing/2014/main" xmlns="" id="{00000000-0008-0000-0500-000007000000}"/>
            </a:ext>
          </a:extLst>
        </xdr:cNvPr>
        <xdr:cNvSpPr/>
      </xdr:nvSpPr>
      <xdr:spPr>
        <a:xfrm>
          <a:off x="276225" y="418685"/>
          <a:ext cx="876300" cy="298175"/>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828675</xdr:colOff>
      <xdr:row>6</xdr:row>
      <xdr:rowOff>45967</xdr:rowOff>
    </xdr:from>
    <xdr:to>
      <xdr:col>5</xdr:col>
      <xdr:colOff>1704975</xdr:colOff>
      <xdr:row>6</xdr:row>
      <xdr:rowOff>335860</xdr:rowOff>
    </xdr:to>
    <xdr:sp macro="[0]!'ValidateDetFunrai 1'" textlink="">
      <xdr:nvSpPr>
        <xdr:cNvPr id="8" name="Rounded Rectangle 7">
          <a:extLst>
            <a:ext uri="{FF2B5EF4-FFF2-40B4-BE49-F238E27FC236}">
              <a16:creationId xmlns:a16="http://schemas.microsoft.com/office/drawing/2014/main" xmlns="" id="{00000000-0008-0000-0500-000008000000}"/>
            </a:ext>
          </a:extLst>
        </xdr:cNvPr>
        <xdr:cNvSpPr/>
      </xdr:nvSpPr>
      <xdr:spPr>
        <a:xfrm>
          <a:off x="1247775" y="426967"/>
          <a:ext cx="876300" cy="289893"/>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twoCellAnchor>
    <xdr:from>
      <xdr:col>6</xdr:col>
      <xdr:colOff>95250</xdr:colOff>
      <xdr:row>28</xdr:row>
      <xdr:rowOff>47625</xdr:rowOff>
    </xdr:from>
    <xdr:to>
      <xdr:col>6</xdr:col>
      <xdr:colOff>1104900</xdr:colOff>
      <xdr:row>28</xdr:row>
      <xdr:rowOff>321945</xdr:rowOff>
    </xdr:to>
    <xdr:sp macro="[0]!btnTextBlockClick" textlink="">
      <xdr:nvSpPr>
        <xdr:cNvPr id="9" name="Rectangle: Rounded Corners 7">
          <a:extLst>
            <a:ext uri="{FF2B5EF4-FFF2-40B4-BE49-F238E27FC236}">
              <a16:creationId xmlns:a16="http://schemas.microsoft.com/office/drawing/2014/main" xmlns="" id="{00000000-0008-0000-0500-000006000000}"/>
            </a:ext>
          </a:extLst>
        </xdr:cNvPr>
        <xdr:cNvSpPr/>
      </xdr:nvSpPr>
      <xdr:spPr>
        <a:xfrm>
          <a:off x="4076700" y="6305550"/>
          <a:ext cx="100965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Note</a:t>
          </a:r>
        </a:p>
      </xdr:txBody>
    </xdr:sp>
    <xdr:clientData/>
  </xdr:twoCellAnchor>
  <xdr:twoCellAnchor>
    <xdr:from>
      <xdr:col>7</xdr:col>
      <xdr:colOff>95250</xdr:colOff>
      <xdr:row>23</xdr:row>
      <xdr:rowOff>57150</xdr:rowOff>
    </xdr:from>
    <xdr:to>
      <xdr:col>7</xdr:col>
      <xdr:colOff>1111940</xdr:colOff>
      <xdr:row>23</xdr:row>
      <xdr:rowOff>331470</xdr:rowOff>
    </xdr:to>
    <xdr:sp macro="[0]!btnTextBlockClick" textlink="">
      <xdr:nvSpPr>
        <xdr:cNvPr id="10" name="Rectangle: Rounded Corners 6">
          <a:extLst>
            <a:ext uri="{FF2B5EF4-FFF2-40B4-BE49-F238E27FC236}">
              <a16:creationId xmlns:a16="http://schemas.microsoft.com/office/drawing/2014/main" xmlns="" id="{00000000-0008-0000-0500-000004000000}"/>
            </a:ext>
          </a:extLst>
        </xdr:cNvPr>
        <xdr:cNvSpPr/>
      </xdr:nvSpPr>
      <xdr:spPr>
        <a:xfrm>
          <a:off x="5286375" y="5734050"/>
          <a:ext cx="101669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Note</a:t>
          </a:r>
        </a:p>
      </xdr:txBody>
    </xdr:sp>
    <xdr:clientData/>
  </xdr:twoCellAnchor>
  <xdr:twoCellAnchor>
    <xdr:from>
      <xdr:col>9</xdr:col>
      <xdr:colOff>76200</xdr:colOff>
      <xdr:row>13</xdr:row>
      <xdr:rowOff>57150</xdr:rowOff>
    </xdr:from>
    <xdr:to>
      <xdr:col>9</xdr:col>
      <xdr:colOff>1123950</xdr:colOff>
      <xdr:row>13</xdr:row>
      <xdr:rowOff>331470</xdr:rowOff>
    </xdr:to>
    <xdr:sp macro="[0]!btnTextBlockClick" textlink="">
      <xdr:nvSpPr>
        <xdr:cNvPr id="11" name="Rectangle: Rounded Corners 5">
          <a:extLst>
            <a:ext uri="{FF2B5EF4-FFF2-40B4-BE49-F238E27FC236}">
              <a16:creationId xmlns:a16="http://schemas.microsoft.com/office/drawing/2014/main" xmlns="" id="{00000000-0008-0000-0500-000003000000}"/>
            </a:ext>
          </a:extLst>
        </xdr:cNvPr>
        <xdr:cNvSpPr/>
      </xdr:nvSpPr>
      <xdr:spPr>
        <a:xfrm>
          <a:off x="7686675" y="2657475"/>
          <a:ext cx="104775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Note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47627</xdr:colOff>
      <xdr:row>11</xdr:row>
      <xdr:rowOff>57150</xdr:rowOff>
    </xdr:from>
    <xdr:to>
      <xdr:col>5</xdr:col>
      <xdr:colOff>1236347</xdr:colOff>
      <xdr:row>11</xdr:row>
      <xdr:rowOff>331470</xdr:rowOff>
    </xdr:to>
    <xdr:sp macro="[0]!Add_RowDetofAssAcq" textlink="">
      <xdr:nvSpPr>
        <xdr:cNvPr id="2" name="Rectangle: Rounded Corners 3">
          <a:extLst>
            <a:ext uri="{FF2B5EF4-FFF2-40B4-BE49-F238E27FC236}">
              <a16:creationId xmlns:a16="http://schemas.microsoft.com/office/drawing/2014/main" xmlns="" id="{00000000-0008-0000-0600-000002000000}"/>
            </a:ext>
          </a:extLst>
        </xdr:cNvPr>
        <xdr:cNvSpPr/>
      </xdr:nvSpPr>
      <xdr:spPr>
        <a:xfrm>
          <a:off x="1076327" y="2324100"/>
          <a:ext cx="118872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a:t>
          </a:r>
        </a:p>
      </xdr:txBody>
    </xdr:sp>
    <xdr:clientData/>
  </xdr:twoCellAnchor>
  <xdr:twoCellAnchor>
    <xdr:from>
      <xdr:col>5</xdr:col>
      <xdr:colOff>1355912</xdr:colOff>
      <xdr:row>11</xdr:row>
      <xdr:rowOff>56030</xdr:rowOff>
    </xdr:from>
    <xdr:to>
      <xdr:col>5</xdr:col>
      <xdr:colOff>2544632</xdr:colOff>
      <xdr:row>11</xdr:row>
      <xdr:rowOff>330350</xdr:rowOff>
    </xdr:to>
    <xdr:sp macro="[0]!Del_Form" textlink="">
      <xdr:nvSpPr>
        <xdr:cNvPr id="4" name="Rectangle: Rounded Corners 3">
          <a:extLst>
            <a:ext uri="{FF2B5EF4-FFF2-40B4-BE49-F238E27FC236}">
              <a16:creationId xmlns:a16="http://schemas.microsoft.com/office/drawing/2014/main" xmlns="" id="{00000000-0008-0000-0600-000004000000}"/>
            </a:ext>
          </a:extLst>
        </xdr:cNvPr>
        <xdr:cNvSpPr/>
      </xdr:nvSpPr>
      <xdr:spPr>
        <a:xfrm>
          <a:off x="2384612" y="2322980"/>
          <a:ext cx="118872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Delete</a:t>
          </a:r>
        </a:p>
      </xdr:txBody>
    </xdr:sp>
    <xdr:clientData/>
  </xdr:twoCellAnchor>
  <xdr:twoCellAnchor>
    <xdr:from>
      <xdr:col>5</xdr:col>
      <xdr:colOff>11206</xdr:colOff>
      <xdr:row>5</xdr:row>
      <xdr:rowOff>34737</xdr:rowOff>
    </xdr:from>
    <xdr:to>
      <xdr:col>5</xdr:col>
      <xdr:colOff>887506</xdr:colOff>
      <xdr:row>6</xdr:row>
      <xdr:rowOff>143037</xdr:rowOff>
    </xdr:to>
    <xdr:sp macro="[0]!home" textlink="">
      <xdr:nvSpPr>
        <xdr:cNvPr id="5" name="Rounded Rectangle 4">
          <a:extLst>
            <a:ext uri="{FF2B5EF4-FFF2-40B4-BE49-F238E27FC236}">
              <a16:creationId xmlns:a16="http://schemas.microsoft.com/office/drawing/2014/main" xmlns="" id="{00000000-0008-0000-0600-000005000000}"/>
            </a:ext>
          </a:extLst>
        </xdr:cNvPr>
        <xdr:cNvSpPr/>
      </xdr:nvSpPr>
      <xdr:spPr>
        <a:xfrm>
          <a:off x="1030941" y="281266"/>
          <a:ext cx="876300" cy="298800"/>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982756</xdr:colOff>
      <xdr:row>5</xdr:row>
      <xdr:rowOff>34737</xdr:rowOff>
    </xdr:from>
    <xdr:to>
      <xdr:col>5</xdr:col>
      <xdr:colOff>1859056</xdr:colOff>
      <xdr:row>6</xdr:row>
      <xdr:rowOff>143037</xdr:rowOff>
    </xdr:to>
    <xdr:sp macro="[0]!'ValidateDetofAssAcq 1'" textlink="">
      <xdr:nvSpPr>
        <xdr:cNvPr id="6" name="Rounded Rectangle 5">
          <a:extLst>
            <a:ext uri="{FF2B5EF4-FFF2-40B4-BE49-F238E27FC236}">
              <a16:creationId xmlns:a16="http://schemas.microsoft.com/office/drawing/2014/main" xmlns="" id="{00000000-0008-0000-0600-000006000000}"/>
            </a:ext>
          </a:extLst>
        </xdr:cNvPr>
        <xdr:cNvSpPr/>
      </xdr:nvSpPr>
      <xdr:spPr>
        <a:xfrm>
          <a:off x="2002491" y="281266"/>
          <a:ext cx="876300" cy="298800"/>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twoCellAnchor>
    <xdr:from>
      <xdr:col>6</xdr:col>
      <xdr:colOff>56030</xdr:colOff>
      <xdr:row>8</xdr:row>
      <xdr:rowOff>89647</xdr:rowOff>
    </xdr:from>
    <xdr:to>
      <xdr:col>6</xdr:col>
      <xdr:colOff>1244750</xdr:colOff>
      <xdr:row>8</xdr:row>
      <xdr:rowOff>437030</xdr:rowOff>
    </xdr:to>
    <xdr:sp macro="[0]!btnTextBlockClick" textlink="">
      <xdr:nvSpPr>
        <xdr:cNvPr id="7" name="Rectangle: Rounded Corners 4">
          <a:extLst>
            <a:ext uri="{FF2B5EF4-FFF2-40B4-BE49-F238E27FC236}">
              <a16:creationId xmlns:a16="http://schemas.microsoft.com/office/drawing/2014/main" xmlns="" id="{00000000-0008-0000-0600-000003000000}"/>
            </a:ext>
          </a:extLst>
        </xdr:cNvPr>
        <xdr:cNvSpPr/>
      </xdr:nvSpPr>
      <xdr:spPr>
        <a:xfrm>
          <a:off x="5300383" y="1098176"/>
          <a:ext cx="1188720" cy="347383"/>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Note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47627</xdr:colOff>
      <xdr:row>11</xdr:row>
      <xdr:rowOff>57150</xdr:rowOff>
    </xdr:from>
    <xdr:to>
      <xdr:col>5</xdr:col>
      <xdr:colOff>1236347</xdr:colOff>
      <xdr:row>11</xdr:row>
      <xdr:rowOff>331470</xdr:rowOff>
    </xdr:to>
    <xdr:sp macro="" textlink="">
      <xdr:nvSpPr>
        <xdr:cNvPr id="2" name="Rectangle: Rounded Corners 6">
          <a:extLst>
            <a:ext uri="{FF2B5EF4-FFF2-40B4-BE49-F238E27FC236}">
              <a16:creationId xmlns:a16="http://schemas.microsoft.com/office/drawing/2014/main" xmlns="" id="{00000000-0008-0000-0700-000002000000}"/>
            </a:ext>
          </a:extLst>
        </xdr:cNvPr>
        <xdr:cNvSpPr/>
      </xdr:nvSpPr>
      <xdr:spPr>
        <a:xfrm>
          <a:off x="1076327" y="3638550"/>
          <a:ext cx="118872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a:t>
          </a:r>
        </a:p>
      </xdr:txBody>
    </xdr:sp>
    <xdr:clientData/>
  </xdr:twoCellAnchor>
  <xdr:twoCellAnchor>
    <xdr:from>
      <xdr:col>5</xdr:col>
      <xdr:colOff>47627</xdr:colOff>
      <xdr:row>11</xdr:row>
      <xdr:rowOff>57150</xdr:rowOff>
    </xdr:from>
    <xdr:to>
      <xdr:col>5</xdr:col>
      <xdr:colOff>1236347</xdr:colOff>
      <xdr:row>11</xdr:row>
      <xdr:rowOff>331470</xdr:rowOff>
    </xdr:to>
    <xdr:sp macro="[0]!Add_Row" textlink="">
      <xdr:nvSpPr>
        <xdr:cNvPr id="3" name="Rectangle: Rounded Corners 8">
          <a:extLst>
            <a:ext uri="{FF2B5EF4-FFF2-40B4-BE49-F238E27FC236}">
              <a16:creationId xmlns:a16="http://schemas.microsoft.com/office/drawing/2014/main" xmlns="" id="{00000000-0008-0000-0700-000003000000}"/>
            </a:ext>
          </a:extLst>
        </xdr:cNvPr>
        <xdr:cNvSpPr/>
      </xdr:nvSpPr>
      <xdr:spPr>
        <a:xfrm>
          <a:off x="1076327" y="3638550"/>
          <a:ext cx="118872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a:t>
          </a:r>
        </a:p>
      </xdr:txBody>
    </xdr:sp>
    <xdr:clientData/>
  </xdr:twoCellAnchor>
  <xdr:twoCellAnchor>
    <xdr:from>
      <xdr:col>5</xdr:col>
      <xdr:colOff>1309681</xdr:colOff>
      <xdr:row>11</xdr:row>
      <xdr:rowOff>59532</xdr:rowOff>
    </xdr:from>
    <xdr:to>
      <xdr:col>5</xdr:col>
      <xdr:colOff>2498401</xdr:colOff>
      <xdr:row>11</xdr:row>
      <xdr:rowOff>333852</xdr:rowOff>
    </xdr:to>
    <xdr:sp macro="[0]!Del_Form" textlink="">
      <xdr:nvSpPr>
        <xdr:cNvPr id="4" name="Rectangle: Rounded Corners 8">
          <a:extLst>
            <a:ext uri="{FF2B5EF4-FFF2-40B4-BE49-F238E27FC236}">
              <a16:creationId xmlns:a16="http://schemas.microsoft.com/office/drawing/2014/main" xmlns="" id="{00000000-0008-0000-0700-000004000000}"/>
            </a:ext>
          </a:extLst>
        </xdr:cNvPr>
        <xdr:cNvSpPr/>
      </xdr:nvSpPr>
      <xdr:spPr>
        <a:xfrm>
          <a:off x="2333619" y="2035970"/>
          <a:ext cx="118872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Delete</a:t>
          </a:r>
        </a:p>
      </xdr:txBody>
    </xdr:sp>
    <xdr:clientData/>
  </xdr:twoCellAnchor>
  <xdr:twoCellAnchor>
    <xdr:from>
      <xdr:col>5</xdr:col>
      <xdr:colOff>59530</xdr:colOff>
      <xdr:row>5</xdr:row>
      <xdr:rowOff>23812</xdr:rowOff>
    </xdr:from>
    <xdr:to>
      <xdr:col>5</xdr:col>
      <xdr:colOff>935830</xdr:colOff>
      <xdr:row>6</xdr:row>
      <xdr:rowOff>142912</xdr:rowOff>
    </xdr:to>
    <xdr:sp macro="[0]!home" textlink="">
      <xdr:nvSpPr>
        <xdr:cNvPr id="6" name="Rounded Rectangle 5">
          <a:extLst>
            <a:ext uri="{FF2B5EF4-FFF2-40B4-BE49-F238E27FC236}">
              <a16:creationId xmlns:a16="http://schemas.microsoft.com/office/drawing/2014/main" xmlns="" id="{00000000-0008-0000-0700-000006000000}"/>
            </a:ext>
          </a:extLst>
        </xdr:cNvPr>
        <xdr:cNvSpPr/>
      </xdr:nvSpPr>
      <xdr:spPr>
        <a:xfrm>
          <a:off x="1083468" y="285750"/>
          <a:ext cx="876300" cy="309600"/>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1031080</xdr:colOff>
      <xdr:row>5</xdr:row>
      <xdr:rowOff>23812</xdr:rowOff>
    </xdr:from>
    <xdr:to>
      <xdr:col>5</xdr:col>
      <xdr:colOff>1907380</xdr:colOff>
      <xdr:row>6</xdr:row>
      <xdr:rowOff>142912</xdr:rowOff>
    </xdr:to>
    <xdr:sp macro="[0]!'ValidateDetaofAssDispOff 1'" textlink="">
      <xdr:nvSpPr>
        <xdr:cNvPr id="7" name="Rounded Rectangle 6">
          <a:extLst>
            <a:ext uri="{FF2B5EF4-FFF2-40B4-BE49-F238E27FC236}">
              <a16:creationId xmlns:a16="http://schemas.microsoft.com/office/drawing/2014/main" xmlns="" id="{00000000-0008-0000-0700-000007000000}"/>
            </a:ext>
          </a:extLst>
        </xdr:cNvPr>
        <xdr:cNvSpPr/>
      </xdr:nvSpPr>
      <xdr:spPr>
        <a:xfrm>
          <a:off x="2055018" y="285750"/>
          <a:ext cx="876300" cy="309600"/>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twoCellAnchor>
    <xdr:from>
      <xdr:col>6</xdr:col>
      <xdr:colOff>44824</xdr:colOff>
      <xdr:row>8</xdr:row>
      <xdr:rowOff>56030</xdr:rowOff>
    </xdr:from>
    <xdr:to>
      <xdr:col>6</xdr:col>
      <xdr:colOff>1233544</xdr:colOff>
      <xdr:row>8</xdr:row>
      <xdr:rowOff>381000</xdr:rowOff>
    </xdr:to>
    <xdr:sp macro="[0]!btnTextBlockClick" textlink="">
      <xdr:nvSpPr>
        <xdr:cNvPr id="8" name="Rectangle: Rounded Corners 9">
          <a:extLst>
            <a:ext uri="{FF2B5EF4-FFF2-40B4-BE49-F238E27FC236}">
              <a16:creationId xmlns:a16="http://schemas.microsoft.com/office/drawing/2014/main" xmlns="" id="{00000000-0008-0000-0700-000005000000}"/>
            </a:ext>
          </a:extLst>
        </xdr:cNvPr>
        <xdr:cNvSpPr/>
      </xdr:nvSpPr>
      <xdr:spPr>
        <a:xfrm>
          <a:off x="5289177" y="1086971"/>
          <a:ext cx="1188720" cy="32497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Note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38100</xdr:colOff>
      <xdr:row>11</xdr:row>
      <xdr:rowOff>50800</xdr:rowOff>
    </xdr:from>
    <xdr:to>
      <xdr:col>5</xdr:col>
      <xdr:colOff>886240</xdr:colOff>
      <xdr:row>11</xdr:row>
      <xdr:rowOff>325120</xdr:rowOff>
    </xdr:to>
    <xdr:sp macro="[0]!Add_RowDetCapRai" textlink="">
      <xdr:nvSpPr>
        <xdr:cNvPr id="2" name="Rectangle: Rounded Corners 3">
          <a:extLst>
            <a:ext uri="{FF2B5EF4-FFF2-40B4-BE49-F238E27FC236}">
              <a16:creationId xmlns:a16="http://schemas.microsoft.com/office/drawing/2014/main" xmlns="" id="{00000000-0008-0000-0800-000002000000}"/>
            </a:ext>
          </a:extLst>
        </xdr:cNvPr>
        <xdr:cNvSpPr/>
      </xdr:nvSpPr>
      <xdr:spPr>
        <a:xfrm>
          <a:off x="180975" y="1870075"/>
          <a:ext cx="1124365"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a:t>
          </a:r>
        </a:p>
      </xdr:txBody>
    </xdr:sp>
    <xdr:clientData/>
  </xdr:twoCellAnchor>
  <xdr:twoCellAnchor>
    <xdr:from>
      <xdr:col>5</xdr:col>
      <xdr:colOff>974092</xdr:colOff>
      <xdr:row>11</xdr:row>
      <xdr:rowOff>42560</xdr:rowOff>
    </xdr:from>
    <xdr:to>
      <xdr:col>5</xdr:col>
      <xdr:colOff>2095558</xdr:colOff>
      <xdr:row>11</xdr:row>
      <xdr:rowOff>316880</xdr:rowOff>
    </xdr:to>
    <xdr:sp macro="[0]!Del_Form" textlink="">
      <xdr:nvSpPr>
        <xdr:cNvPr id="4" name="Rectangle: Rounded Corners 3">
          <a:extLst>
            <a:ext uri="{FF2B5EF4-FFF2-40B4-BE49-F238E27FC236}">
              <a16:creationId xmlns:a16="http://schemas.microsoft.com/office/drawing/2014/main" xmlns="" id="{00000000-0008-0000-0800-000004000000}"/>
            </a:ext>
          </a:extLst>
        </xdr:cNvPr>
        <xdr:cNvSpPr/>
      </xdr:nvSpPr>
      <xdr:spPr>
        <a:xfrm>
          <a:off x="1393192" y="1861835"/>
          <a:ext cx="1121466"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Delete</a:t>
          </a:r>
        </a:p>
      </xdr:txBody>
    </xdr:sp>
    <xdr:clientData/>
  </xdr:twoCellAnchor>
  <xdr:twoCellAnchor>
    <xdr:from>
      <xdr:col>5</xdr:col>
      <xdr:colOff>47625</xdr:colOff>
      <xdr:row>5</xdr:row>
      <xdr:rowOff>38100</xdr:rowOff>
    </xdr:from>
    <xdr:to>
      <xdr:col>5</xdr:col>
      <xdr:colOff>923925</xdr:colOff>
      <xdr:row>6</xdr:row>
      <xdr:rowOff>146400</xdr:rowOff>
    </xdr:to>
    <xdr:sp macro="[0]!home" textlink="">
      <xdr:nvSpPr>
        <xdr:cNvPr id="5" name="Rounded Rectangle 4">
          <a:extLst>
            <a:ext uri="{FF2B5EF4-FFF2-40B4-BE49-F238E27FC236}">
              <a16:creationId xmlns:a16="http://schemas.microsoft.com/office/drawing/2014/main" xmlns="" id="{00000000-0008-0000-0800-000005000000}"/>
            </a:ext>
          </a:extLst>
        </xdr:cNvPr>
        <xdr:cNvSpPr/>
      </xdr:nvSpPr>
      <xdr:spPr>
        <a:xfrm>
          <a:off x="466725" y="285750"/>
          <a:ext cx="876300" cy="298800"/>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1019175</xdr:colOff>
      <xdr:row>5</xdr:row>
      <xdr:rowOff>38100</xdr:rowOff>
    </xdr:from>
    <xdr:to>
      <xdr:col>5</xdr:col>
      <xdr:colOff>1895475</xdr:colOff>
      <xdr:row>6</xdr:row>
      <xdr:rowOff>146400</xdr:rowOff>
    </xdr:to>
    <xdr:sp macro="[0]!'ValidateDetCapRai 1'" textlink="">
      <xdr:nvSpPr>
        <xdr:cNvPr id="6" name="Rounded Rectangle 5">
          <a:extLst>
            <a:ext uri="{FF2B5EF4-FFF2-40B4-BE49-F238E27FC236}">
              <a16:creationId xmlns:a16="http://schemas.microsoft.com/office/drawing/2014/main" xmlns="" id="{00000000-0008-0000-0800-000006000000}"/>
            </a:ext>
          </a:extLst>
        </xdr:cNvPr>
        <xdr:cNvSpPr/>
      </xdr:nvSpPr>
      <xdr:spPr>
        <a:xfrm>
          <a:off x="1438275" y="285750"/>
          <a:ext cx="876300" cy="298800"/>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twoCellAnchor>
    <xdr:from>
      <xdr:col>6</xdr:col>
      <xdr:colOff>47625</xdr:colOff>
      <xdr:row>8</xdr:row>
      <xdr:rowOff>57150</xdr:rowOff>
    </xdr:from>
    <xdr:to>
      <xdr:col>6</xdr:col>
      <xdr:colOff>1169091</xdr:colOff>
      <xdr:row>8</xdr:row>
      <xdr:rowOff>327533</xdr:rowOff>
    </xdr:to>
    <xdr:sp macro="[0]!btnTextBlockClick" textlink="">
      <xdr:nvSpPr>
        <xdr:cNvPr id="7" name="Rectangle: Rounded Corners 8">
          <a:extLst>
            <a:ext uri="{FF2B5EF4-FFF2-40B4-BE49-F238E27FC236}">
              <a16:creationId xmlns:a16="http://schemas.microsoft.com/office/drawing/2014/main" xmlns="" id="{00000000-0008-0000-0800-000003000000}"/>
            </a:ext>
          </a:extLst>
        </xdr:cNvPr>
        <xdr:cNvSpPr/>
      </xdr:nvSpPr>
      <xdr:spPr>
        <a:xfrm>
          <a:off x="4495800" y="1066800"/>
          <a:ext cx="1121466" cy="270383"/>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Note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57150</xdr:colOff>
      <xdr:row>10</xdr:row>
      <xdr:rowOff>19050</xdr:rowOff>
    </xdr:from>
    <xdr:to>
      <xdr:col>6</xdr:col>
      <xdr:colOff>1733550</xdr:colOff>
      <xdr:row>10</xdr:row>
      <xdr:rowOff>293370</xdr:rowOff>
    </xdr:to>
    <xdr:sp macro="[0]!AddNetDistCashFlow" textlink="">
      <xdr:nvSpPr>
        <xdr:cNvPr id="2" name="Rectangle: Rounded Corners 3">
          <a:extLst>
            <a:ext uri="{FF2B5EF4-FFF2-40B4-BE49-F238E27FC236}">
              <a16:creationId xmlns:a16="http://schemas.microsoft.com/office/drawing/2014/main" xmlns="" id="{00000000-0008-0000-0A00-000002000000}"/>
            </a:ext>
          </a:extLst>
        </xdr:cNvPr>
        <xdr:cNvSpPr/>
      </xdr:nvSpPr>
      <xdr:spPr>
        <a:xfrm>
          <a:off x="7477125" y="1381125"/>
          <a:ext cx="167640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Cash Flow</a:t>
          </a:r>
        </a:p>
      </xdr:txBody>
    </xdr:sp>
    <xdr:clientData/>
  </xdr:twoCellAnchor>
  <xdr:twoCellAnchor>
    <xdr:from>
      <xdr:col>5</xdr:col>
      <xdr:colOff>0</xdr:colOff>
      <xdr:row>5</xdr:row>
      <xdr:rowOff>0</xdr:rowOff>
    </xdr:from>
    <xdr:to>
      <xdr:col>5</xdr:col>
      <xdr:colOff>876300</xdr:colOff>
      <xdr:row>5</xdr:row>
      <xdr:rowOff>304800</xdr:rowOff>
    </xdr:to>
    <xdr:sp macro="[0]!home" textlink="">
      <xdr:nvSpPr>
        <xdr:cNvPr id="3" name="Rounded Rectangle 2">
          <a:extLst>
            <a:ext uri="{FF2B5EF4-FFF2-40B4-BE49-F238E27FC236}">
              <a16:creationId xmlns:a16="http://schemas.microsoft.com/office/drawing/2014/main" xmlns="" id="{00000000-0008-0000-0A00-000003000000}"/>
            </a:ext>
          </a:extLst>
        </xdr:cNvPr>
        <xdr:cNvSpPr/>
      </xdr:nvSpPr>
      <xdr:spPr>
        <a:xfrm>
          <a:off x="942975" y="1085850"/>
          <a:ext cx="876300" cy="304800"/>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971550</xdr:colOff>
      <xdr:row>5</xdr:row>
      <xdr:rowOff>0</xdr:rowOff>
    </xdr:from>
    <xdr:to>
      <xdr:col>5</xdr:col>
      <xdr:colOff>1847850</xdr:colOff>
      <xdr:row>5</xdr:row>
      <xdr:rowOff>304800</xdr:rowOff>
    </xdr:to>
    <xdr:sp macro="[0]!'ValiNetDistCashFlow 1'" textlink="">
      <xdr:nvSpPr>
        <xdr:cNvPr id="4" name="Rounded Rectangle 3">
          <a:extLst>
            <a:ext uri="{FF2B5EF4-FFF2-40B4-BE49-F238E27FC236}">
              <a16:creationId xmlns:a16="http://schemas.microsoft.com/office/drawing/2014/main" xmlns="" id="{00000000-0008-0000-0A00-000004000000}"/>
            </a:ext>
          </a:extLst>
        </xdr:cNvPr>
        <xdr:cNvSpPr/>
      </xdr:nvSpPr>
      <xdr:spPr>
        <a:xfrm>
          <a:off x="1914525" y="1085850"/>
          <a:ext cx="876300" cy="304800"/>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28576</xdr:colOff>
      <xdr:row>8</xdr:row>
      <xdr:rowOff>57150</xdr:rowOff>
    </xdr:from>
    <xdr:to>
      <xdr:col>7</xdr:col>
      <xdr:colOff>1628776</xdr:colOff>
      <xdr:row>8</xdr:row>
      <xdr:rowOff>331470</xdr:rowOff>
    </xdr:to>
    <xdr:sp macro="[0]!AddCapAndDebtStrSPVS" textlink="">
      <xdr:nvSpPr>
        <xdr:cNvPr id="2" name="Rectangle: Rounded Corners 1">
          <a:extLst>
            <a:ext uri="{FF2B5EF4-FFF2-40B4-BE49-F238E27FC236}">
              <a16:creationId xmlns:a16="http://schemas.microsoft.com/office/drawing/2014/main" xmlns="" id="{00000000-0008-0000-0B00-000002000000}"/>
            </a:ext>
          </a:extLst>
        </xdr:cNvPr>
        <xdr:cNvSpPr/>
      </xdr:nvSpPr>
      <xdr:spPr>
        <a:xfrm>
          <a:off x="5857876" y="2085975"/>
          <a:ext cx="160020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Holdcos/SVPs</a:t>
          </a:r>
        </a:p>
      </xdr:txBody>
    </xdr:sp>
    <xdr:clientData/>
  </xdr:twoCellAnchor>
  <xdr:twoCellAnchor>
    <xdr:from>
      <xdr:col>4</xdr:col>
      <xdr:colOff>47625</xdr:colOff>
      <xdr:row>5</xdr:row>
      <xdr:rowOff>200025</xdr:rowOff>
    </xdr:from>
    <xdr:to>
      <xdr:col>5</xdr:col>
      <xdr:colOff>314325</xdr:colOff>
      <xdr:row>6</xdr:row>
      <xdr:rowOff>133350</xdr:rowOff>
    </xdr:to>
    <xdr:sp macro="[0]!home" textlink="">
      <xdr:nvSpPr>
        <xdr:cNvPr id="3" name="Rounded Rectangle 2">
          <a:extLst>
            <a:ext uri="{FF2B5EF4-FFF2-40B4-BE49-F238E27FC236}">
              <a16:creationId xmlns:a16="http://schemas.microsoft.com/office/drawing/2014/main" xmlns="" id="{00000000-0008-0000-0B00-000003000000}"/>
            </a:ext>
          </a:extLst>
        </xdr:cNvPr>
        <xdr:cNvSpPr/>
      </xdr:nvSpPr>
      <xdr:spPr>
        <a:xfrm>
          <a:off x="657225" y="533400"/>
          <a:ext cx="876300" cy="304800"/>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409575</xdr:colOff>
      <xdr:row>5</xdr:row>
      <xdr:rowOff>200025</xdr:rowOff>
    </xdr:from>
    <xdr:to>
      <xdr:col>5</xdr:col>
      <xdr:colOff>1285875</xdr:colOff>
      <xdr:row>6</xdr:row>
      <xdr:rowOff>133350</xdr:rowOff>
    </xdr:to>
    <xdr:sp macro="[0]!'ValCashpandDebtStrSPVS 1'" textlink="">
      <xdr:nvSpPr>
        <xdr:cNvPr id="4" name="Rounded Rectangle 3">
          <a:extLst>
            <a:ext uri="{FF2B5EF4-FFF2-40B4-BE49-F238E27FC236}">
              <a16:creationId xmlns:a16="http://schemas.microsoft.com/office/drawing/2014/main" xmlns="" id="{00000000-0008-0000-0B00-000004000000}"/>
            </a:ext>
          </a:extLst>
        </xdr:cNvPr>
        <xdr:cNvSpPr/>
      </xdr:nvSpPr>
      <xdr:spPr>
        <a:xfrm>
          <a:off x="1628775" y="533400"/>
          <a:ext cx="876300" cy="304800"/>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5</xdr:row>
      <xdr:rowOff>0</xdr:rowOff>
    </xdr:from>
    <xdr:to>
      <xdr:col>5</xdr:col>
      <xdr:colOff>876300</xdr:colOff>
      <xdr:row>5</xdr:row>
      <xdr:rowOff>304800</xdr:rowOff>
    </xdr:to>
    <xdr:sp macro="[0]!home" textlink="">
      <xdr:nvSpPr>
        <xdr:cNvPr id="2" name="Rounded Rectangle 1">
          <a:extLst>
            <a:ext uri="{FF2B5EF4-FFF2-40B4-BE49-F238E27FC236}">
              <a16:creationId xmlns:a16="http://schemas.microsoft.com/office/drawing/2014/main" xmlns="" id="{00000000-0008-0000-0C00-000002000000}"/>
            </a:ext>
          </a:extLst>
        </xdr:cNvPr>
        <xdr:cNvSpPr/>
      </xdr:nvSpPr>
      <xdr:spPr>
        <a:xfrm>
          <a:off x="1219200" y="1219200"/>
          <a:ext cx="876300" cy="304800"/>
        </a:xfrm>
        <a:prstGeom prst="roundRect">
          <a:avLst/>
        </a:prstGeom>
        <a:gradFill flip="none" rotWithShape="1">
          <a:gsLst>
            <a:gs pos="0">
              <a:schemeClr val="accent3">
                <a:lumMod val="5000"/>
                <a:lumOff val="95000"/>
              </a:schemeClr>
            </a:gs>
            <a:gs pos="54000">
              <a:schemeClr val="accent3">
                <a:lumMod val="45000"/>
                <a:lumOff val="55000"/>
              </a:schemeClr>
            </a:gs>
          </a:gsLst>
          <a:lin ang="5400000" scaled="1"/>
          <a:tileRect/>
        </a:gradFill>
        <a:ln w="6350">
          <a:solidFill>
            <a:schemeClr val="tx1"/>
          </a:solidFill>
        </a:ln>
      </xdr:spPr>
      <xdr:style>
        <a:lnRef idx="2">
          <a:schemeClr val="accent6"/>
        </a:lnRef>
        <a:fillRef idx="1001">
          <a:schemeClr val="lt1"/>
        </a:fillRef>
        <a:effectRef idx="0">
          <a:schemeClr val="accent6"/>
        </a:effectRef>
        <a:fontRef idx="minor">
          <a:schemeClr val="dk1"/>
        </a:fontRef>
      </xdr:style>
      <xdr:txBody>
        <a:bodyPr vertOverflow="clip" horzOverflow="clip" rtlCol="0" anchor="ctr"/>
        <a:lstStyle/>
        <a:p>
          <a:pPr algn="ctr"/>
          <a:r>
            <a:rPr lang="en-GB" sz="1100" b="0">
              <a:solidFill>
                <a:sysClr val="windowText" lastClr="000000"/>
              </a:solidFill>
              <a:latin typeface="+mn-lt"/>
              <a:ea typeface="+mn-ea"/>
              <a:cs typeface="+mn-cs"/>
            </a:rPr>
            <a:t>Home</a:t>
          </a:r>
        </a:p>
      </xdr:txBody>
    </xdr:sp>
    <xdr:clientData/>
  </xdr:twoCellAnchor>
  <xdr:twoCellAnchor>
    <xdr:from>
      <xdr:col>5</xdr:col>
      <xdr:colOff>971550</xdr:colOff>
      <xdr:row>5</xdr:row>
      <xdr:rowOff>0</xdr:rowOff>
    </xdr:from>
    <xdr:to>
      <xdr:col>5</xdr:col>
      <xdr:colOff>1847850</xdr:colOff>
      <xdr:row>5</xdr:row>
      <xdr:rowOff>304800</xdr:rowOff>
    </xdr:to>
    <xdr:sp macro="[0]!'ValSPVsHelThoHoldCos 1'" textlink="">
      <xdr:nvSpPr>
        <xdr:cNvPr id="3" name="Rounded Rectangle 2">
          <a:extLst>
            <a:ext uri="{FF2B5EF4-FFF2-40B4-BE49-F238E27FC236}">
              <a16:creationId xmlns:a16="http://schemas.microsoft.com/office/drawing/2014/main" xmlns="" id="{00000000-0008-0000-0C00-000003000000}"/>
            </a:ext>
          </a:extLst>
        </xdr:cNvPr>
        <xdr:cNvSpPr/>
      </xdr:nvSpPr>
      <xdr:spPr>
        <a:xfrm>
          <a:off x="2190750" y="1219200"/>
          <a:ext cx="876300" cy="304800"/>
        </a:xfrm>
        <a:prstGeom prst="roundRect">
          <a:avLst/>
        </a:prstGeom>
        <a:gradFill>
          <a:gsLst>
            <a:gs pos="0">
              <a:schemeClr val="accent1">
                <a:lumMod val="5000"/>
                <a:lumOff val="95000"/>
              </a:schemeClr>
            </a:gs>
            <a:gs pos="34000">
              <a:schemeClr val="bg1">
                <a:lumMod val="84000"/>
              </a:schemeClr>
            </a:gs>
          </a:gsLst>
          <a:lin ang="5400000" scaled="1"/>
        </a:gradFill>
        <a:ln w="6350">
          <a:solidFill>
            <a:schemeClr val="tx1"/>
          </a:solidFill>
        </a:ln>
        <a:effectLst>
          <a:outerShdw blurRad="50800" dist="50800" dir="2700000" algn="ctr" rotWithShape="0">
            <a:srgbClr val="000000">
              <a:alpha val="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0">
              <a:solidFill>
                <a:sysClr val="windowText" lastClr="000000"/>
              </a:solidFill>
            </a:rPr>
            <a:t>Validate</a:t>
          </a:r>
        </a:p>
      </xdr:txBody>
    </xdr:sp>
    <xdr:clientData/>
  </xdr:twoCellAnchor>
  <xdr:twoCellAnchor>
    <xdr:from>
      <xdr:col>7</xdr:col>
      <xdr:colOff>57150</xdr:colOff>
      <xdr:row>8</xdr:row>
      <xdr:rowOff>28575</xdr:rowOff>
    </xdr:from>
    <xdr:to>
      <xdr:col>7</xdr:col>
      <xdr:colOff>1657350</xdr:colOff>
      <xdr:row>8</xdr:row>
      <xdr:rowOff>302895</xdr:rowOff>
    </xdr:to>
    <xdr:sp macro="[0]!AddSPVsHelThoHoldCos" textlink="">
      <xdr:nvSpPr>
        <xdr:cNvPr id="4" name="Rectangle: Rounded Corners 1">
          <a:extLst>
            <a:ext uri="{FF2B5EF4-FFF2-40B4-BE49-F238E27FC236}">
              <a16:creationId xmlns:a16="http://schemas.microsoft.com/office/drawing/2014/main" xmlns="" id="{00000000-0008-0000-0C00-000004000000}"/>
            </a:ext>
          </a:extLst>
        </xdr:cNvPr>
        <xdr:cNvSpPr/>
      </xdr:nvSpPr>
      <xdr:spPr>
        <a:xfrm>
          <a:off x="5886450" y="2057400"/>
          <a:ext cx="1600200" cy="2743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0" cap="none" spc="0">
              <a:ln w="0"/>
              <a:solidFill>
                <a:schemeClr val="tx1"/>
              </a:solidFill>
              <a:effectLst>
                <a:outerShdw blurRad="38100" dist="19050" dir="2700000" algn="tl" rotWithShape="0">
                  <a:schemeClr val="dk1">
                    <a:alpha val="40000"/>
                  </a:schemeClr>
                </a:outerShdw>
              </a:effectLst>
            </a:rPr>
            <a:t>Add Holdcos/SVPs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59"/>
  <sheetViews>
    <sheetView showGridLines="0" tabSelected="1" workbookViewId="0">
      <selection activeCell="E6" sqref="E6:I6"/>
    </sheetView>
  </sheetViews>
  <sheetFormatPr defaultColWidth="0" defaultRowHeight="15" zeroHeight="1"/>
  <cols>
    <col min="1" max="1" width="2.28515625" customWidth="1"/>
    <col min="2" max="2" width="3.7109375" customWidth="1"/>
    <col min="3" max="3" width="4.42578125" customWidth="1"/>
    <col min="4" max="4" width="8" customWidth="1"/>
    <col min="5" max="5" width="12.140625" customWidth="1"/>
    <col min="6" max="6" width="16.5703125" customWidth="1"/>
    <col min="7" max="7" width="17" customWidth="1"/>
    <col min="8" max="8" width="12.85546875" customWidth="1"/>
    <col min="9" max="9" width="28.5703125" customWidth="1"/>
    <col min="10" max="10" width="37.140625" customWidth="1"/>
    <col min="11" max="11" width="8.42578125" customWidth="1"/>
    <col min="12" max="16384" width="9.140625" hidden="1"/>
  </cols>
  <sheetData>
    <row r="1" spans="4:11">
      <c r="J1" s="220"/>
      <c r="K1" s="220"/>
    </row>
    <row r="2" spans="4:11">
      <c r="J2" s="220"/>
      <c r="K2" s="220"/>
    </row>
    <row r="3" spans="4:11">
      <c r="J3" s="220"/>
      <c r="K3" s="220"/>
    </row>
    <row r="4" spans="4:11">
      <c r="J4" s="220"/>
      <c r="K4" s="220"/>
    </row>
    <row r="5" spans="4:11">
      <c r="J5" s="220"/>
      <c r="K5" s="220"/>
    </row>
    <row r="6" spans="4:11">
      <c r="E6" s="266" t="s">
        <v>596</v>
      </c>
      <c r="F6" s="267"/>
      <c r="G6" s="267"/>
      <c r="H6" s="267"/>
      <c r="I6" s="268"/>
    </row>
    <row r="7" spans="4:11">
      <c r="E7" s="164" t="s">
        <v>597</v>
      </c>
      <c r="F7" s="269" t="s">
        <v>598</v>
      </c>
      <c r="G7" s="270"/>
      <c r="H7" s="270"/>
      <c r="I7" s="271"/>
    </row>
    <row r="8" spans="4:11">
      <c r="E8" s="165" t="s">
        <v>599</v>
      </c>
      <c r="F8" s="272" t="s">
        <v>600</v>
      </c>
      <c r="G8" s="272"/>
      <c r="H8" s="272"/>
      <c r="I8" s="273"/>
    </row>
    <row r="9" spans="4:11">
      <c r="E9" s="165" t="s">
        <v>601</v>
      </c>
      <c r="F9" s="272" t="s">
        <v>602</v>
      </c>
      <c r="G9" s="272"/>
      <c r="H9" s="272"/>
      <c r="I9" s="273"/>
    </row>
    <row r="10" spans="4:11">
      <c r="E10" s="166" t="s">
        <v>603</v>
      </c>
      <c r="F10" s="274" t="s">
        <v>685</v>
      </c>
      <c r="G10" s="275"/>
      <c r="H10" s="275"/>
      <c r="I10" s="276"/>
    </row>
    <row r="11" spans="4:11">
      <c r="E11" s="167" t="s">
        <v>604</v>
      </c>
      <c r="F11" s="277" t="s">
        <v>605</v>
      </c>
      <c r="G11" s="277"/>
      <c r="H11" s="277"/>
      <c r="I11" s="278"/>
    </row>
    <row r="12" spans="4:11">
      <c r="I12" s="168"/>
    </row>
    <row r="13" spans="4:11">
      <c r="I13" s="168"/>
    </row>
    <row r="14" spans="4:11">
      <c r="D14" s="243" t="s">
        <v>606</v>
      </c>
      <c r="E14" s="244"/>
      <c r="F14" s="244"/>
      <c r="G14" s="244"/>
      <c r="H14" s="244"/>
      <c r="I14" s="244"/>
      <c r="J14" s="245"/>
    </row>
    <row r="15" spans="4:11" ht="16.5" customHeight="1">
      <c r="D15" s="246" t="s">
        <v>686</v>
      </c>
      <c r="E15" s="246"/>
      <c r="F15" s="246"/>
      <c r="G15" s="246"/>
      <c r="H15" s="246"/>
      <c r="I15" s="246"/>
      <c r="J15" s="246"/>
    </row>
    <row r="16" spans="4:11" ht="28.5" customHeight="1">
      <c r="D16" s="247" t="s">
        <v>607</v>
      </c>
      <c r="E16" s="247"/>
      <c r="F16" s="247"/>
      <c r="G16" s="247"/>
      <c r="H16" s="247"/>
      <c r="I16" s="247"/>
      <c r="J16" s="247"/>
    </row>
    <row r="17" spans="4:10">
      <c r="D17" s="169"/>
      <c r="E17" s="169"/>
      <c r="F17" s="169"/>
      <c r="G17" s="169"/>
      <c r="H17" s="169"/>
      <c r="I17" s="170"/>
      <c r="J17" s="169"/>
    </row>
    <row r="18" spans="4:10">
      <c r="I18" s="168"/>
    </row>
    <row r="19" spans="4:10" ht="15.75">
      <c r="D19" s="248" t="s">
        <v>608</v>
      </c>
      <c r="E19" s="249"/>
      <c r="F19" s="249"/>
      <c r="G19" s="249"/>
      <c r="H19" s="249"/>
      <c r="I19" s="249"/>
      <c r="J19" s="250"/>
    </row>
    <row r="20" spans="4:10">
      <c r="D20" s="251" t="s">
        <v>609</v>
      </c>
      <c r="E20" s="252"/>
      <c r="F20" s="252"/>
      <c r="G20" s="252"/>
      <c r="H20" s="252"/>
      <c r="I20" s="252"/>
      <c r="J20" s="253"/>
    </row>
    <row r="21" spans="4:10">
      <c r="D21" s="263" t="s">
        <v>610</v>
      </c>
      <c r="E21" s="264"/>
      <c r="F21" s="264"/>
      <c r="G21" s="264"/>
      <c r="H21" s="264"/>
      <c r="I21" s="264"/>
      <c r="J21" s="265"/>
    </row>
    <row r="22" spans="4:10">
      <c r="D22" s="233" t="s">
        <v>611</v>
      </c>
      <c r="E22" s="234"/>
      <c r="F22" s="234"/>
      <c r="G22" s="234"/>
      <c r="H22" s="234"/>
      <c r="I22" s="234"/>
      <c r="J22" s="235"/>
    </row>
    <row r="23" spans="4:10">
      <c r="D23" s="233" t="s">
        <v>612</v>
      </c>
      <c r="E23" s="234"/>
      <c r="F23" s="234"/>
      <c r="G23" s="234"/>
      <c r="H23" s="234"/>
      <c r="I23" s="234"/>
      <c r="J23" s="235"/>
    </row>
    <row r="24" spans="4:10" ht="30" customHeight="1">
      <c r="D24" s="236" t="s">
        <v>613</v>
      </c>
      <c r="E24" s="237"/>
      <c r="F24" s="237"/>
      <c r="G24" s="237"/>
      <c r="H24" s="237"/>
      <c r="I24" s="237"/>
      <c r="J24" s="238"/>
    </row>
    <row r="25" spans="4:10">
      <c r="I25" s="168"/>
    </row>
    <row r="26" spans="4:10">
      <c r="I26" s="168"/>
    </row>
    <row r="27" spans="4:10" ht="15.75">
      <c r="D27" s="230" t="s">
        <v>614</v>
      </c>
      <c r="E27" s="231"/>
      <c r="F27" s="231"/>
      <c r="G27" s="231"/>
      <c r="H27" s="231"/>
      <c r="I27" s="231"/>
      <c r="J27" s="232"/>
    </row>
    <row r="28" spans="4:10">
      <c r="D28" s="171">
        <v>1</v>
      </c>
      <c r="E28" s="239" t="s">
        <v>691</v>
      </c>
      <c r="F28" s="239"/>
      <c r="G28" s="239"/>
      <c r="H28" s="239"/>
      <c r="I28" s="240"/>
      <c r="J28" s="172" t="s">
        <v>615</v>
      </c>
    </row>
    <row r="29" spans="4:10">
      <c r="D29" s="173">
        <v>2</v>
      </c>
      <c r="E29" s="241" t="s">
        <v>44</v>
      </c>
      <c r="F29" s="241"/>
      <c r="G29" s="241"/>
      <c r="H29" s="241"/>
      <c r="I29" s="242"/>
      <c r="J29" s="174" t="s">
        <v>268</v>
      </c>
    </row>
    <row r="30" spans="4:10">
      <c r="D30" s="179">
        <v>3</v>
      </c>
      <c r="E30" s="241" t="s">
        <v>631</v>
      </c>
      <c r="F30" s="241"/>
      <c r="G30" s="241"/>
      <c r="H30" s="241"/>
      <c r="I30" s="242"/>
      <c r="J30" s="174" t="s">
        <v>319</v>
      </c>
    </row>
    <row r="31" spans="4:10">
      <c r="D31" s="179">
        <v>4</v>
      </c>
      <c r="E31" s="241" t="s">
        <v>632</v>
      </c>
      <c r="F31" s="241"/>
      <c r="G31" s="241"/>
      <c r="H31" s="241"/>
      <c r="I31" s="242"/>
      <c r="J31" s="174" t="s">
        <v>308</v>
      </c>
    </row>
    <row r="32" spans="4:10">
      <c r="D32" s="179">
        <v>5</v>
      </c>
      <c r="E32" s="241" t="s">
        <v>146</v>
      </c>
      <c r="F32" s="241"/>
      <c r="G32" s="241"/>
      <c r="H32" s="241"/>
      <c r="I32" s="242"/>
      <c r="J32" s="174" t="s">
        <v>298</v>
      </c>
    </row>
    <row r="33" spans="4:10">
      <c r="D33" s="179">
        <v>6</v>
      </c>
      <c r="E33" s="241" t="s">
        <v>120</v>
      </c>
      <c r="F33" s="241"/>
      <c r="G33" s="241"/>
      <c r="H33" s="241"/>
      <c r="I33" s="242"/>
      <c r="J33" s="174" t="s">
        <v>309</v>
      </c>
    </row>
    <row r="34" spans="4:10">
      <c r="D34" s="179">
        <v>7</v>
      </c>
      <c r="E34" s="241" t="s">
        <v>633</v>
      </c>
      <c r="F34" s="241"/>
      <c r="G34" s="241"/>
      <c r="H34" s="241"/>
      <c r="I34" s="242"/>
      <c r="J34" s="174" t="s">
        <v>345</v>
      </c>
    </row>
    <row r="35" spans="4:10">
      <c r="D35" s="179">
        <v>8</v>
      </c>
      <c r="E35" s="241" t="s">
        <v>213</v>
      </c>
      <c r="F35" s="241"/>
      <c r="G35" s="241"/>
      <c r="H35" s="241"/>
      <c r="I35" s="242"/>
      <c r="J35" s="174" t="s">
        <v>346</v>
      </c>
    </row>
    <row r="36" spans="4:10">
      <c r="D36" s="175">
        <v>9</v>
      </c>
      <c r="E36" s="255" t="s">
        <v>595</v>
      </c>
      <c r="F36" s="255"/>
      <c r="G36" s="255"/>
      <c r="H36" s="255"/>
      <c r="I36" s="256"/>
      <c r="J36" s="176" t="s">
        <v>537</v>
      </c>
    </row>
    <row r="37" spans="4:10">
      <c r="D37" s="177"/>
      <c r="E37" s="177"/>
      <c r="F37" s="177"/>
      <c r="G37" s="177"/>
      <c r="H37" s="177"/>
      <c r="I37" s="178"/>
      <c r="J37" s="177"/>
    </row>
    <row r="38" spans="4:10">
      <c r="I38" s="168"/>
    </row>
    <row r="39" spans="4:10" ht="15.75">
      <c r="D39" s="248" t="s">
        <v>687</v>
      </c>
      <c r="E39" s="249"/>
      <c r="F39" s="249"/>
      <c r="G39" s="249"/>
      <c r="H39" s="249"/>
      <c r="I39" s="249"/>
      <c r="J39" s="250"/>
    </row>
    <row r="40" spans="4:10" ht="25.5" customHeight="1">
      <c r="D40" s="257" t="s">
        <v>616</v>
      </c>
      <c r="E40" s="258"/>
      <c r="F40" s="258"/>
      <c r="G40" s="258"/>
      <c r="H40" s="258"/>
      <c r="I40" s="258"/>
      <c r="J40" s="259"/>
    </row>
    <row r="41" spans="4:10" ht="36" customHeight="1">
      <c r="D41" s="260" t="s">
        <v>617</v>
      </c>
      <c r="E41" s="261"/>
      <c r="F41" s="261"/>
      <c r="G41" s="261"/>
      <c r="H41" s="261"/>
      <c r="I41" s="261"/>
      <c r="J41" s="262"/>
    </row>
    <row r="42" spans="4:10" ht="42" customHeight="1">
      <c r="D42" s="260" t="s">
        <v>618</v>
      </c>
      <c r="E42" s="261"/>
      <c r="F42" s="261"/>
      <c r="G42" s="261"/>
      <c r="H42" s="261"/>
      <c r="I42" s="261"/>
      <c r="J42" s="262"/>
    </row>
    <row r="43" spans="4:10">
      <c r="D43" s="224" t="s">
        <v>619</v>
      </c>
      <c r="E43" s="225"/>
      <c r="F43" s="225"/>
      <c r="G43" s="225"/>
      <c r="H43" s="225"/>
      <c r="I43" s="225"/>
      <c r="J43" s="226"/>
    </row>
    <row r="44" spans="4:10" ht="25.5" customHeight="1">
      <c r="D44" s="221" t="s">
        <v>620</v>
      </c>
      <c r="E44" s="222"/>
      <c r="F44" s="222"/>
      <c r="G44" s="222"/>
      <c r="H44" s="222"/>
      <c r="I44" s="222"/>
      <c r="J44" s="223"/>
    </row>
    <row r="45" spans="4:10" ht="57.75" customHeight="1">
      <c r="D45" s="224" t="s">
        <v>621</v>
      </c>
      <c r="E45" s="225"/>
      <c r="F45" s="225"/>
      <c r="G45" s="225"/>
      <c r="H45" s="225"/>
      <c r="I45" s="225"/>
      <c r="J45" s="226"/>
    </row>
    <row r="46" spans="4:10" ht="45.75" customHeight="1">
      <c r="D46" s="227" t="s">
        <v>622</v>
      </c>
      <c r="E46" s="228"/>
      <c r="F46" s="228"/>
      <c r="G46" s="228"/>
      <c r="H46" s="228"/>
      <c r="I46" s="228"/>
      <c r="J46" s="229"/>
    </row>
    <row r="47" spans="4:10">
      <c r="I47" s="168"/>
    </row>
    <row r="48" spans="4:10">
      <c r="I48" s="168"/>
    </row>
    <row r="49" spans="4:10" ht="15.75">
      <c r="D49" s="230" t="s">
        <v>623</v>
      </c>
      <c r="E49" s="231"/>
      <c r="F49" s="231"/>
      <c r="G49" s="231"/>
      <c r="H49" s="231"/>
      <c r="I49" s="231"/>
      <c r="J49" s="232"/>
    </row>
    <row r="50" spans="4:10">
      <c r="D50" s="254" t="s">
        <v>624</v>
      </c>
      <c r="E50" s="254"/>
      <c r="F50" s="254"/>
      <c r="G50" s="254"/>
      <c r="H50" s="254"/>
      <c r="I50" s="254"/>
      <c r="J50" s="254"/>
    </row>
    <row r="51" spans="4:10">
      <c r="D51" s="216" t="s">
        <v>625</v>
      </c>
      <c r="E51" s="216"/>
      <c r="F51" s="216"/>
      <c r="G51" s="216"/>
      <c r="H51" s="216"/>
      <c r="I51" s="216"/>
      <c r="J51" s="216"/>
    </row>
    <row r="52" spans="4:10">
      <c r="D52" s="216" t="s">
        <v>626</v>
      </c>
      <c r="E52" s="216"/>
      <c r="F52" s="216"/>
      <c r="G52" s="216"/>
      <c r="H52" s="216"/>
      <c r="I52" s="216"/>
      <c r="J52" s="216"/>
    </row>
    <row r="53" spans="4:10">
      <c r="D53" s="216" t="s">
        <v>627</v>
      </c>
      <c r="E53" s="216"/>
      <c r="F53" s="216"/>
      <c r="G53" s="216"/>
      <c r="H53" s="216"/>
      <c r="I53" s="216"/>
      <c r="J53" s="216"/>
    </row>
    <row r="54" spans="4:10">
      <c r="D54" s="216" t="s">
        <v>628</v>
      </c>
      <c r="E54" s="216"/>
      <c r="F54" s="216"/>
      <c r="G54" s="216"/>
      <c r="H54" s="216"/>
      <c r="I54" s="216"/>
      <c r="J54" s="216"/>
    </row>
    <row r="55" spans="4:10">
      <c r="D55" s="217" t="s">
        <v>629</v>
      </c>
      <c r="E55" s="218"/>
      <c r="F55" s="218"/>
      <c r="G55" s="218"/>
      <c r="H55" s="218"/>
      <c r="I55" s="218"/>
      <c r="J55" s="218"/>
    </row>
    <row r="56" spans="4:10">
      <c r="D56" s="219" t="s">
        <v>630</v>
      </c>
      <c r="E56" s="219"/>
      <c r="F56" s="219"/>
      <c r="G56" s="219"/>
      <c r="H56" s="219"/>
      <c r="I56" s="219"/>
      <c r="J56" s="219"/>
    </row>
    <row r="57" spans="4:10"/>
    <row r="58" spans="4:10"/>
    <row r="59" spans="4:10"/>
  </sheetData>
  <sheetProtection algorithmName="SHA-512" hashValue="5gAfuQx6jBogs+5n6m0R6d8TD4tjkHO0d/IA+hhbF8WvpLWu8NNKl1rCxbV7MYhC9g40cO0P50c9IUqTVUdZJw==" saltValue="bKGdrJbdoTRBudtWVAEHOg==" spinCount="100000" sheet="1" objects="1" scenarios="1"/>
  <mergeCells count="42">
    <mergeCell ref="E35:I35"/>
    <mergeCell ref="E30:I30"/>
    <mergeCell ref="E31:I31"/>
    <mergeCell ref="E32:I32"/>
    <mergeCell ref="E33:I33"/>
    <mergeCell ref="E34:I34"/>
    <mergeCell ref="D21:J21"/>
    <mergeCell ref="E6:I6"/>
    <mergeCell ref="F7:I7"/>
    <mergeCell ref="F8:I8"/>
    <mergeCell ref="F9:I9"/>
    <mergeCell ref="F10:I10"/>
    <mergeCell ref="F11:I11"/>
    <mergeCell ref="D50:J50"/>
    <mergeCell ref="D51:J51"/>
    <mergeCell ref="E36:I36"/>
    <mergeCell ref="D39:J39"/>
    <mergeCell ref="D40:J40"/>
    <mergeCell ref="D41:J41"/>
    <mergeCell ref="D42:J42"/>
    <mergeCell ref="D43:J43"/>
    <mergeCell ref="J1:K5"/>
    <mergeCell ref="D44:J44"/>
    <mergeCell ref="D45:J45"/>
    <mergeCell ref="D46:J46"/>
    <mergeCell ref="D49:J49"/>
    <mergeCell ref="D22:J22"/>
    <mergeCell ref="D23:J23"/>
    <mergeCell ref="D24:J24"/>
    <mergeCell ref="D27:J27"/>
    <mergeCell ref="E28:I28"/>
    <mergeCell ref="E29:I29"/>
    <mergeCell ref="D14:J14"/>
    <mergeCell ref="D15:J15"/>
    <mergeCell ref="D16:J16"/>
    <mergeCell ref="D19:J19"/>
    <mergeCell ref="D20:J20"/>
    <mergeCell ref="D52:J52"/>
    <mergeCell ref="D53:J53"/>
    <mergeCell ref="D54:J54"/>
    <mergeCell ref="D55:J55"/>
    <mergeCell ref="D56:J56"/>
  </mergeCells>
  <hyperlinks>
    <hyperlink ref="J28" location="'General Info'!A1" display="General Info"/>
    <hyperlink ref="F7:I7" location="Index!D14" display="Overview"/>
    <hyperlink ref="F8:I8" location="Index!D19" display="Before you begin"/>
    <hyperlink ref="F9:I9" location="Index!D27" display="Index"/>
    <hyperlink ref="F11:I11" location="Index!D39" display="Fill up the data in excel utility"/>
    <hyperlink ref="F10:I10" location="Index!D27" display="Steps for Filing - Financial Results - RITS or INVITS"/>
    <hyperlink ref="J36" location="'SPVs held through HoldCos'!A1" display="SPVs held through HoldCos"/>
    <hyperlink ref="J29" location="Distribution!A1" display="Distribution"/>
    <hyperlink ref="J30" location="'Details of Funds raised'!A1" display="Details of Funds raised"/>
    <hyperlink ref="J31" location="'Details of Assets Acquired'!A1" display="Details of Assets Acquired"/>
    <hyperlink ref="J32" location="'Details of Assets Disposed Off'!A1" display="Details of Assets Disposed Off"/>
    <hyperlink ref="J33" location="'Details of Capital Raised'!A1" display="Details of Capital Raised"/>
    <hyperlink ref="J34" location="'Net Distributable Cash Flow'!A1" display="Net Distributable Cash Flow"/>
    <hyperlink ref="J35" location="'Capital and Debt Structure_SPVs'!A1" display="Capital and Debt Structure_SPVs"/>
  </hyperlinks>
  <pageMargins left="0.7" right="0.7" top="0.75" bottom="0.75" header="0.3" footer="0.3"/>
  <pageSetup orientation="portrait" r:id="rId1"/>
  <headerFooter>
    <oddFooter>&amp;C&amp;"Arial"&amp;8&amp;K8585FF BSE - 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35"/>
  <sheetViews>
    <sheetView showGridLines="0" topLeftCell="D5" workbookViewId="0">
      <selection activeCell="E8" sqref="E8:I8"/>
    </sheetView>
  </sheetViews>
  <sheetFormatPr defaultColWidth="0" defaultRowHeight="15" customHeight="1" zeroHeight="1"/>
  <cols>
    <col min="1" max="3" width="9.140625" hidden="1" customWidth="1"/>
    <col min="4" max="4" width="9.140625" customWidth="1"/>
    <col min="5" max="5" width="53.28515625" customWidth="1"/>
    <col min="6" max="6" width="24.42578125" bestFit="1" customWidth="1"/>
    <col min="7" max="7" width="8.42578125" customWidth="1"/>
    <col min="8" max="9" width="8.28515625" customWidth="1"/>
    <col min="10" max="10" width="12.42578125" customWidth="1"/>
    <col min="11" max="16383" width="7" hidden="1"/>
    <col min="16384" max="16384" width="3.28515625" hidden="1"/>
  </cols>
  <sheetData>
    <row r="1" spans="5:72" ht="12.75" hidden="1" customHeight="1">
      <c r="L1" t="s">
        <v>0</v>
      </c>
      <c r="M1" s="1" t="s">
        <v>1</v>
      </c>
      <c r="N1" s="1" t="s">
        <v>2</v>
      </c>
      <c r="O1" s="1" t="s">
        <v>3</v>
      </c>
      <c r="P1" s="1" t="s">
        <v>4</v>
      </c>
      <c r="Q1" s="1" t="s">
        <v>5</v>
      </c>
      <c r="R1" s="1" t="s">
        <v>6</v>
      </c>
      <c r="S1" s="1" t="s">
        <v>7</v>
      </c>
      <c r="T1" s="1" t="s">
        <v>8</v>
      </c>
      <c r="U1" s="1" t="s">
        <v>9</v>
      </c>
      <c r="V1" s="1" t="s">
        <v>10</v>
      </c>
      <c r="W1" s="1" t="s">
        <v>11</v>
      </c>
      <c r="X1" s="1" t="s">
        <v>12</v>
      </c>
      <c r="Y1" s="1" t="s">
        <v>13</v>
      </c>
      <c r="Z1" s="1" t="s">
        <v>14</v>
      </c>
      <c r="AA1">
        <v>14</v>
      </c>
      <c r="AB1">
        <v>15</v>
      </c>
      <c r="AC1">
        <f>+AB1+1</f>
        <v>16</v>
      </c>
      <c r="AD1">
        <f t="shared" ref="AD1:BT1" si="0">+AC1+1</f>
        <v>17</v>
      </c>
      <c r="AE1">
        <f t="shared" si="0"/>
        <v>18</v>
      </c>
      <c r="AF1">
        <f t="shared" si="0"/>
        <v>19</v>
      </c>
      <c r="AG1">
        <f t="shared" si="0"/>
        <v>20</v>
      </c>
      <c r="AH1">
        <f t="shared" si="0"/>
        <v>21</v>
      </c>
      <c r="AI1">
        <f t="shared" si="0"/>
        <v>22</v>
      </c>
      <c r="AJ1">
        <f t="shared" si="0"/>
        <v>23</v>
      </c>
      <c r="AK1">
        <f t="shared" si="0"/>
        <v>24</v>
      </c>
      <c r="AL1">
        <f t="shared" si="0"/>
        <v>25</v>
      </c>
      <c r="AM1">
        <f t="shared" si="0"/>
        <v>26</v>
      </c>
      <c r="AN1">
        <f t="shared" si="0"/>
        <v>27</v>
      </c>
      <c r="AO1">
        <f t="shared" si="0"/>
        <v>28</v>
      </c>
      <c r="AP1">
        <f t="shared" si="0"/>
        <v>29</v>
      </c>
      <c r="AQ1">
        <f t="shared" si="0"/>
        <v>30</v>
      </c>
      <c r="AR1">
        <f t="shared" si="0"/>
        <v>31</v>
      </c>
      <c r="AS1">
        <f t="shared" si="0"/>
        <v>32</v>
      </c>
      <c r="AT1">
        <f t="shared" si="0"/>
        <v>33</v>
      </c>
      <c r="AU1">
        <f t="shared" si="0"/>
        <v>34</v>
      </c>
      <c r="AV1">
        <f t="shared" si="0"/>
        <v>35</v>
      </c>
      <c r="AW1">
        <f t="shared" si="0"/>
        <v>36</v>
      </c>
      <c r="AX1">
        <f t="shared" si="0"/>
        <v>37</v>
      </c>
      <c r="AY1">
        <f t="shared" si="0"/>
        <v>38</v>
      </c>
      <c r="AZ1">
        <f t="shared" si="0"/>
        <v>39</v>
      </c>
      <c r="BA1">
        <f t="shared" si="0"/>
        <v>40</v>
      </c>
      <c r="BB1">
        <f t="shared" si="0"/>
        <v>41</v>
      </c>
      <c r="BC1">
        <f t="shared" si="0"/>
        <v>42</v>
      </c>
      <c r="BD1">
        <f t="shared" si="0"/>
        <v>43</v>
      </c>
      <c r="BE1">
        <f t="shared" si="0"/>
        <v>44</v>
      </c>
      <c r="BF1">
        <f t="shared" si="0"/>
        <v>45</v>
      </c>
      <c r="BG1">
        <f t="shared" si="0"/>
        <v>46</v>
      </c>
      <c r="BH1">
        <f t="shared" si="0"/>
        <v>47</v>
      </c>
      <c r="BI1">
        <f t="shared" si="0"/>
        <v>48</v>
      </c>
      <c r="BJ1">
        <f t="shared" si="0"/>
        <v>49</v>
      </c>
      <c r="BK1">
        <f t="shared" si="0"/>
        <v>50</v>
      </c>
      <c r="BL1">
        <f t="shared" si="0"/>
        <v>51</v>
      </c>
      <c r="BM1">
        <f t="shared" si="0"/>
        <v>52</v>
      </c>
      <c r="BN1">
        <f t="shared" si="0"/>
        <v>53</v>
      </c>
      <c r="BO1">
        <f t="shared" si="0"/>
        <v>54</v>
      </c>
      <c r="BP1">
        <f t="shared" si="0"/>
        <v>55</v>
      </c>
      <c r="BQ1">
        <f t="shared" si="0"/>
        <v>56</v>
      </c>
      <c r="BR1">
        <f t="shared" si="0"/>
        <v>57</v>
      </c>
      <c r="BS1">
        <f t="shared" si="0"/>
        <v>58</v>
      </c>
      <c r="BT1">
        <f t="shared" si="0"/>
        <v>59</v>
      </c>
    </row>
    <row r="2" spans="5:72" ht="20.25" hidden="1" customHeight="1">
      <c r="L2" t="s">
        <v>15</v>
      </c>
      <c r="N2">
        <v>2019</v>
      </c>
      <c r="O2">
        <v>2020</v>
      </c>
      <c r="P2">
        <v>2021</v>
      </c>
      <c r="Q2">
        <v>2022</v>
      </c>
      <c r="R2">
        <v>2023</v>
      </c>
      <c r="S2">
        <v>2024</v>
      </c>
      <c r="T2">
        <v>2025</v>
      </c>
    </row>
    <row r="3" spans="5:72" ht="19.5" hidden="1" customHeight="1">
      <c r="E3" t="s">
        <v>16</v>
      </c>
      <c r="F3" t="s">
        <v>17</v>
      </c>
      <c r="G3" t="s">
        <v>18</v>
      </c>
      <c r="H3" t="s">
        <v>19</v>
      </c>
      <c r="L3" t="s">
        <v>20</v>
      </c>
      <c r="N3" t="s">
        <v>21</v>
      </c>
      <c r="O3" t="s">
        <v>22</v>
      </c>
      <c r="P3" t="s">
        <v>23</v>
      </c>
      <c r="Q3" t="s">
        <v>24</v>
      </c>
    </row>
    <row r="4" spans="5:72" ht="20.25" hidden="1" customHeight="1">
      <c r="L4" t="s">
        <v>25</v>
      </c>
      <c r="N4" t="s">
        <v>699</v>
      </c>
      <c r="O4" t="s">
        <v>700</v>
      </c>
    </row>
    <row r="5" spans="5:72" ht="20.100000000000001" customHeight="1"/>
    <row r="6" spans="5:72">
      <c r="E6" s="220"/>
    </row>
    <row r="7" spans="5:72">
      <c r="E7" s="280"/>
    </row>
    <row r="8" spans="5:72" ht="30" customHeight="1">
      <c r="E8" s="281" t="s">
        <v>692</v>
      </c>
      <c r="F8" s="281"/>
      <c r="G8" s="281"/>
      <c r="H8" s="281"/>
      <c r="I8" s="281"/>
    </row>
    <row r="9" spans="5:72">
      <c r="E9" s="2" t="s">
        <v>26</v>
      </c>
      <c r="F9" s="3"/>
      <c r="G9" s="279"/>
      <c r="H9" s="279"/>
      <c r="I9" s="279"/>
    </row>
    <row r="10" spans="5:72">
      <c r="E10" s="2" t="s">
        <v>27</v>
      </c>
      <c r="F10" s="3"/>
      <c r="G10" s="279"/>
      <c r="H10" s="279"/>
      <c r="I10" s="279"/>
    </row>
    <row r="11" spans="5:72">
      <c r="E11" s="2" t="s">
        <v>28</v>
      </c>
      <c r="F11" s="3"/>
      <c r="G11" s="279"/>
      <c r="H11" s="279"/>
      <c r="I11" s="279"/>
    </row>
    <row r="12" spans="5:72">
      <c r="E12" s="2" t="s">
        <v>29</v>
      </c>
      <c r="F12" s="189"/>
      <c r="G12" s="279"/>
      <c r="H12" s="279"/>
      <c r="I12" s="279"/>
      <c r="Z12">
        <v>26</v>
      </c>
    </row>
    <row r="13" spans="5:72">
      <c r="E13" s="2" t="s">
        <v>30</v>
      </c>
      <c r="F13" s="107"/>
      <c r="G13" s="279"/>
      <c r="H13" s="279"/>
      <c r="I13" s="279"/>
    </row>
    <row r="14" spans="5:72">
      <c r="E14" s="2" t="s">
        <v>680</v>
      </c>
      <c r="F14" s="4"/>
      <c r="G14" s="279"/>
      <c r="H14" s="279"/>
      <c r="I14" s="279"/>
    </row>
    <row r="15" spans="5:72">
      <c r="E15" s="2" t="s">
        <v>31</v>
      </c>
      <c r="F15" s="4"/>
      <c r="G15" s="4"/>
      <c r="H15" s="4"/>
      <c r="I15" s="279"/>
    </row>
    <row r="16" spans="5:72">
      <c r="E16" s="2" t="s">
        <v>32</v>
      </c>
      <c r="F16" s="4"/>
      <c r="G16" s="4"/>
      <c r="H16" s="4"/>
      <c r="I16" s="279"/>
    </row>
    <row r="17" spans="5:12">
      <c r="E17" s="6" t="s">
        <v>33</v>
      </c>
      <c r="F17" s="4"/>
      <c r="G17" s="4"/>
      <c r="H17" s="4"/>
      <c r="I17" s="279"/>
    </row>
    <row r="18" spans="5:12" ht="45">
      <c r="E18" s="7" t="s">
        <v>34</v>
      </c>
      <c r="F18" s="4"/>
      <c r="G18" s="4"/>
      <c r="H18" s="4"/>
      <c r="I18" s="279"/>
    </row>
    <row r="19" spans="5:12">
      <c r="E19" s="2" t="s">
        <v>35</v>
      </c>
      <c r="F19" s="8" t="s">
        <v>36</v>
      </c>
      <c r="G19" s="282"/>
      <c r="H19" s="283"/>
      <c r="I19" s="284"/>
    </row>
    <row r="20" spans="5:12" ht="44.25" customHeight="1">
      <c r="E20" s="2" t="s">
        <v>670</v>
      </c>
      <c r="F20" s="206" t="s">
        <v>20</v>
      </c>
      <c r="G20" s="285" t="s">
        <v>669</v>
      </c>
      <c r="H20" s="286"/>
      <c r="I20" s="286"/>
    </row>
    <row r="21" spans="5:12">
      <c r="E21" s="2" t="s">
        <v>37</v>
      </c>
      <c r="F21" s="5"/>
      <c r="G21" s="9"/>
      <c r="H21" s="9"/>
      <c r="I21" s="9"/>
    </row>
    <row r="22" spans="5:12">
      <c r="E22" s="2" t="s">
        <v>38</v>
      </c>
      <c r="F22" s="5"/>
      <c r="G22" s="9"/>
      <c r="H22" s="9"/>
      <c r="I22" s="9"/>
    </row>
    <row r="23" spans="5:12">
      <c r="E23" s="6" t="s">
        <v>39</v>
      </c>
      <c r="F23" s="5"/>
      <c r="G23" s="279" t="s">
        <v>40</v>
      </c>
      <c r="H23" s="279"/>
      <c r="I23" s="279"/>
    </row>
    <row r="24" spans="5:12">
      <c r="E24" s="2" t="s">
        <v>41</v>
      </c>
      <c r="F24" s="4"/>
      <c r="G24" s="10"/>
      <c r="H24" s="10"/>
      <c r="I24" s="9" t="s">
        <v>42</v>
      </c>
      <c r="L24" t="s">
        <v>365</v>
      </c>
    </row>
    <row r="25" spans="5:12">
      <c r="E25" s="2" t="s">
        <v>43</v>
      </c>
      <c r="F25" s="4"/>
      <c r="G25" s="10"/>
      <c r="H25" s="10"/>
      <c r="I25" s="9" t="s">
        <v>42</v>
      </c>
      <c r="L25" t="s">
        <v>366</v>
      </c>
    </row>
    <row r="26" spans="5:12"/>
    <row r="27" spans="5:12"/>
    <row r="28" spans="5:12"/>
    <row r="29" spans="5:12"/>
    <row r="30" spans="5:12"/>
    <row r="31" spans="5:12"/>
    <row r="32" spans="5:12"/>
    <row r="33"/>
    <row r="34"/>
    <row r="35"/>
  </sheetData>
  <sheetProtection algorithmName="SHA-512" hashValue="6tVw2g8wHrN9li9I+0xjyKOsFmX2kQOkQ1OtHZj2OUjes/vqaLBCacvL+NxsxctaR3+CE20k6NhEpjFuq2pwjg==" saltValue="KYf/HnJaPOtiwq1b+nCyvA==" spinCount="100000" sheet="1" objects="1" scenarios="1"/>
  <mergeCells count="7">
    <mergeCell ref="G23:I23"/>
    <mergeCell ref="E6:E7"/>
    <mergeCell ref="E8:I8"/>
    <mergeCell ref="G9:I14"/>
    <mergeCell ref="I15:I18"/>
    <mergeCell ref="G19:I19"/>
    <mergeCell ref="G20:I20"/>
  </mergeCells>
  <dataValidations count="11">
    <dataValidation type="list" allowBlank="1" showInputMessage="1" showErrorMessage="1" sqref="F14">
      <formula1>$N$4:$O$4</formula1>
    </dataValidation>
    <dataValidation type="list" allowBlank="1" showInputMessage="1" showErrorMessage="1" sqref="F21">
      <formula1>$E$3:$H$3</formula1>
    </dataValidation>
    <dataValidation type="list" allowBlank="1" showInputMessage="1" showErrorMessage="1" sqref="H16">
      <formula1>$O$2:$Q$2</formula1>
    </dataValidation>
    <dataValidation type="list" allowBlank="1" showInputMessage="1" showErrorMessage="1" sqref="H15">
      <formula1>$N$2:$P$2</formula1>
    </dataValidation>
    <dataValidation type="list" allowBlank="1" showInputMessage="1" showErrorMessage="1" sqref="H17:H18">
      <formula1>$N$2:$Q$2</formula1>
    </dataValidation>
    <dataValidation type="list" allowBlank="1" showInputMessage="1" showErrorMessage="1" sqref="G15:G18">
      <formula1>$N$1:$Y$1</formula1>
    </dataValidation>
    <dataValidation type="list" allowBlank="1" showInputMessage="1" showErrorMessage="1" sqref="F15:F18">
      <formula1>$N$1:$AR$1</formula1>
    </dataValidation>
    <dataValidation type="list" allowBlank="1" showInputMessage="1" showErrorMessage="1" sqref="H24:H25">
      <formula1>$M$1:$BT$1</formula1>
    </dataValidation>
    <dataValidation type="list" allowBlank="1" showInputMessage="1" showErrorMessage="1" sqref="G24:G25">
      <formula1>$M$1:$AJ$1</formula1>
    </dataValidation>
    <dataValidation type="list" allowBlank="1" showInputMessage="1" showErrorMessage="1" sqref="F22">
      <formula1>$N$3:$O$3</formula1>
    </dataValidation>
    <dataValidation type="list" allowBlank="1" showInputMessage="1" showErrorMessage="1" sqref="F23">
      <formula1>$P$3:$Q$3</formula1>
    </dataValidation>
  </dataValidations>
  <pageMargins left="0.7" right="0.7" top="0.75" bottom="0.75" header="0.3" footer="0.3"/>
  <pageSetup orientation="portrait" r:id="rId1"/>
  <headerFooter>
    <oddFooter>&amp;C&amp;"Arial"&amp;8&amp;K8585FF BSE - INTERNAL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P37"/>
  <sheetViews>
    <sheetView showGridLines="0" topLeftCell="D5" workbookViewId="0">
      <selection activeCell="E8" sqref="E8:H8"/>
    </sheetView>
  </sheetViews>
  <sheetFormatPr defaultColWidth="0" defaultRowHeight="15" customHeight="1" zeroHeight="1"/>
  <cols>
    <col min="1" max="3" width="0" hidden="1" customWidth="1"/>
    <col min="4" max="4" width="9.140625" customWidth="1"/>
    <col min="5" max="5" width="13.7109375" customWidth="1"/>
    <col min="6" max="6" width="50.85546875" customWidth="1"/>
    <col min="7" max="9" width="25.7109375" customWidth="1"/>
    <col min="10" max="10" width="25.7109375" hidden="1" customWidth="1"/>
    <col min="11" max="11" width="45.5703125" hidden="1" customWidth="1"/>
    <col min="12" max="12" width="45" hidden="1" customWidth="1"/>
    <col min="13" max="14" width="25.7109375" hidden="1" customWidth="1"/>
    <col min="15" max="16" width="9.140625" hidden="1" customWidth="1"/>
    <col min="17" max="16384" width="9.140625" hidden="1"/>
  </cols>
  <sheetData>
    <row r="5" spans="5:16" ht="20.100000000000001" customHeight="1"/>
    <row r="6" spans="5:16" ht="15" customHeight="1">
      <c r="E6" s="292"/>
      <c r="F6" s="292"/>
    </row>
    <row r="7" spans="5:16" ht="15" customHeight="1">
      <c r="E7" s="293"/>
      <c r="F7" s="293"/>
    </row>
    <row r="8" spans="5:16" ht="30" customHeight="1">
      <c r="E8" s="298" t="s">
        <v>44</v>
      </c>
      <c r="F8" s="299"/>
      <c r="G8" s="299"/>
      <c r="H8" s="300"/>
    </row>
    <row r="9" spans="5:16" ht="18.75" customHeight="1">
      <c r="E9" s="54" t="s">
        <v>45</v>
      </c>
      <c r="F9" s="12" t="s">
        <v>526</v>
      </c>
      <c r="G9" s="294" t="s">
        <v>698</v>
      </c>
      <c r="H9" s="295"/>
    </row>
    <row r="10" spans="5:16" ht="16.5" customHeight="1">
      <c r="E10" s="54" t="s">
        <v>47</v>
      </c>
      <c r="F10" s="12" t="s">
        <v>527</v>
      </c>
      <c r="G10" s="296"/>
      <c r="H10" s="297"/>
    </row>
    <row r="11" spans="5:16">
      <c r="E11" s="25" t="s">
        <v>49</v>
      </c>
      <c r="F11" s="301" t="s">
        <v>50</v>
      </c>
      <c r="G11" s="302"/>
      <c r="H11" s="303"/>
    </row>
    <row r="12" spans="5:16">
      <c r="E12" s="14">
        <v>1</v>
      </c>
      <c r="F12" s="190" t="s">
        <v>51</v>
      </c>
      <c r="G12" s="290"/>
      <c r="H12" s="291"/>
    </row>
    <row r="13" spans="5:16" ht="18.75" customHeight="1">
      <c r="E13" s="18">
        <v>2</v>
      </c>
      <c r="F13" s="191" t="s">
        <v>52</v>
      </c>
      <c r="G13" s="290"/>
      <c r="H13" s="291"/>
    </row>
    <row r="14" spans="5:16" ht="30">
      <c r="E14" s="92">
        <v>3</v>
      </c>
      <c r="F14" s="193" t="s">
        <v>53</v>
      </c>
      <c r="G14" s="25" t="s">
        <v>671</v>
      </c>
      <c r="H14" s="25" t="s">
        <v>54</v>
      </c>
    </row>
    <row r="15" spans="5:16" ht="31.5" customHeight="1">
      <c r="E15" s="14">
        <v>4</v>
      </c>
      <c r="F15" s="190" t="s">
        <v>55</v>
      </c>
      <c r="G15" s="162"/>
      <c r="H15" s="91"/>
      <c r="K15" s="16" t="s">
        <v>56</v>
      </c>
      <c r="L15" s="16" t="s">
        <v>57</v>
      </c>
      <c r="O15" s="17"/>
      <c r="P15" s="17"/>
    </row>
    <row r="16" spans="5:16" ht="30">
      <c r="E16" s="15">
        <v>5</v>
      </c>
      <c r="F16" s="192" t="s">
        <v>58</v>
      </c>
      <c r="G16" s="163"/>
      <c r="H16" s="90"/>
      <c r="K16" s="16" t="s">
        <v>59</v>
      </c>
      <c r="L16" s="16" t="s">
        <v>60</v>
      </c>
      <c r="O16" s="17"/>
      <c r="P16" s="17"/>
    </row>
    <row r="17" spans="5:12" ht="47.25" customHeight="1">
      <c r="E17" s="15">
        <v>6</v>
      </c>
      <c r="F17" s="192" t="s">
        <v>61</v>
      </c>
      <c r="G17" s="163"/>
      <c r="H17" s="90"/>
      <c r="K17" s="16" t="s">
        <v>62</v>
      </c>
      <c r="L17" s="16" t="s">
        <v>63</v>
      </c>
    </row>
    <row r="18" spans="5:12" ht="31.5" customHeight="1">
      <c r="E18" s="15">
        <v>7</v>
      </c>
      <c r="F18" s="192" t="s">
        <v>64</v>
      </c>
      <c r="G18" s="163"/>
      <c r="H18" s="90"/>
      <c r="K18" s="16" t="s">
        <v>65</v>
      </c>
      <c r="L18" s="16" t="s">
        <v>66</v>
      </c>
    </row>
    <row r="19" spans="5:12" ht="17.25" customHeight="1">
      <c r="E19" s="15">
        <v>8</v>
      </c>
      <c r="F19" s="192" t="s">
        <v>67</v>
      </c>
      <c r="G19" s="290"/>
      <c r="H19" s="291"/>
    </row>
    <row r="20" spans="5:12">
      <c r="E20" s="18">
        <v>9</v>
      </c>
      <c r="F20" s="191" t="s">
        <v>68</v>
      </c>
      <c r="G20" s="290"/>
      <c r="H20" s="291"/>
    </row>
    <row r="21" spans="5:12" ht="30" customHeight="1">
      <c r="E21" s="287" t="s">
        <v>69</v>
      </c>
      <c r="F21" s="288"/>
      <c r="G21" s="288"/>
      <c r="H21" s="289"/>
    </row>
    <row r="22" spans="5:12"/>
    <row r="23" spans="5:12"/>
    <row r="24" spans="5:12"/>
    <row r="25" spans="5:12"/>
    <row r="26" spans="5:12"/>
    <row r="27" spans="5:12"/>
    <row r="28" spans="5:12"/>
    <row r="29" spans="5:12"/>
    <row r="30" spans="5:12"/>
    <row r="31" spans="5:12"/>
    <row r="32" spans="5:12"/>
    <row r="33"/>
    <row r="34"/>
    <row r="35"/>
    <row r="36"/>
    <row r="37"/>
  </sheetData>
  <sheetProtection algorithmName="SHA-512" hashValue="06NXaHig5BT0fmlLGk44zIfucGeMFcwonv5EyDpFotcekOQ066i74PcHsuhYgDgTI310yXGTV9MaguIN7BWUKA==" saltValue="E0O8RQhjEeyIY+7AE0hIrA==" spinCount="100000" sheet="1" objects="1" scenarios="1"/>
  <mergeCells count="10">
    <mergeCell ref="E21:H21"/>
    <mergeCell ref="G19:H19"/>
    <mergeCell ref="G20:H20"/>
    <mergeCell ref="E6:F7"/>
    <mergeCell ref="G9:H9"/>
    <mergeCell ref="G10:H10"/>
    <mergeCell ref="G12:H12"/>
    <mergeCell ref="G13:H13"/>
    <mergeCell ref="E8:H8"/>
    <mergeCell ref="F11:H11"/>
  </mergeCells>
  <dataValidations count="1">
    <dataValidation type="decimal" allowBlank="1" showInputMessage="1" showErrorMessage="1" sqref="G15:H18">
      <formula1>-9.99999999999999E+36</formula1>
      <formula2>9.99999999999999E+36</formula2>
    </dataValidation>
  </dataValidations>
  <pageMargins left="0.7" right="0.7" top="0.75" bottom="0.75" header="0.3" footer="0.3"/>
  <pageSetup orientation="portrait" r:id="rId1"/>
  <headerFooter>
    <oddFooter>&amp;C&amp;"Arial"&amp;8&amp;K8585FF BSE - 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5:H37"/>
  <sheetViews>
    <sheetView showGridLines="0" topLeftCell="D5" workbookViewId="0">
      <selection activeCell="E8" sqref="E8:H8"/>
    </sheetView>
  </sheetViews>
  <sheetFormatPr defaultColWidth="0" defaultRowHeight="15" customHeight="1" zeroHeight="1"/>
  <cols>
    <col min="1" max="3" width="0" hidden="1" customWidth="1"/>
    <col min="4" max="4" width="9.140625" customWidth="1"/>
    <col min="5" max="5" width="13.7109375" customWidth="1"/>
    <col min="6" max="6" width="50.85546875" customWidth="1"/>
    <col min="7" max="7" width="25.7109375" customWidth="1"/>
    <col min="8" max="8" width="25.7109375" hidden="1" customWidth="1"/>
    <col min="9" max="11" width="9.140625" customWidth="1"/>
  </cols>
  <sheetData>
    <row r="5" spans="5:8" ht="20.100000000000001" customHeight="1"/>
    <row r="6" spans="5:8" ht="15" customHeight="1">
      <c r="E6" s="292"/>
      <c r="F6" s="292"/>
    </row>
    <row r="7" spans="5:8" ht="15" customHeight="1">
      <c r="E7" s="293"/>
      <c r="F7" s="293"/>
    </row>
    <row r="8" spans="5:8" ht="30" customHeight="1">
      <c r="E8" s="304" t="s">
        <v>70</v>
      </c>
      <c r="F8" s="304"/>
      <c r="G8" s="304"/>
      <c r="H8" s="304"/>
    </row>
    <row r="9" spans="5:8">
      <c r="E9" s="19" t="s">
        <v>45</v>
      </c>
      <c r="F9" s="20" t="s">
        <v>46</v>
      </c>
      <c r="G9" s="21" t="s">
        <v>698</v>
      </c>
      <c r="H9" s="21" t="s">
        <v>698</v>
      </c>
    </row>
    <row r="10" spans="5:8">
      <c r="E10" s="22" t="s">
        <v>47</v>
      </c>
      <c r="F10" s="23" t="s">
        <v>48</v>
      </c>
      <c r="G10" s="24" t="s">
        <v>698</v>
      </c>
      <c r="H10" s="24" t="s">
        <v>698</v>
      </c>
    </row>
    <row r="11" spans="5:8" ht="15" customHeight="1">
      <c r="E11" s="13"/>
      <c r="F11" s="25"/>
      <c r="G11" s="25" t="s">
        <v>71</v>
      </c>
      <c r="H11" s="25" t="s">
        <v>72</v>
      </c>
    </row>
    <row r="12" spans="5:8">
      <c r="E12" s="213" t="s">
        <v>73</v>
      </c>
      <c r="F12" s="213" t="s">
        <v>50</v>
      </c>
      <c r="G12" s="214" t="s">
        <v>679</v>
      </c>
      <c r="H12" s="214" t="s">
        <v>679</v>
      </c>
    </row>
    <row r="13" spans="5:8">
      <c r="E13" s="26" t="s">
        <v>45</v>
      </c>
      <c r="F13" s="27" t="s">
        <v>74</v>
      </c>
      <c r="G13" s="88"/>
      <c r="H13" s="88"/>
    </row>
    <row r="14" spans="5:8">
      <c r="E14" s="26" t="s">
        <v>47</v>
      </c>
      <c r="F14" s="27" t="s">
        <v>75</v>
      </c>
      <c r="G14" s="88"/>
      <c r="H14" s="88"/>
    </row>
    <row r="15" spans="5:8">
      <c r="E15" s="26" t="s">
        <v>76</v>
      </c>
      <c r="F15" s="27" t="s">
        <v>77</v>
      </c>
      <c r="G15" s="182">
        <f>G13-G14</f>
        <v>0</v>
      </c>
      <c r="H15" s="182">
        <f>H13-H14</f>
        <v>0</v>
      </c>
    </row>
    <row r="16" spans="5:8">
      <c r="E16" s="26" t="s">
        <v>78</v>
      </c>
      <c r="F16" s="27" t="s">
        <v>79</v>
      </c>
      <c r="G16" s="88"/>
      <c r="H16" s="88"/>
    </row>
    <row r="17" spans="5:8">
      <c r="E17" s="28" t="s">
        <v>80</v>
      </c>
      <c r="F17" s="29" t="s">
        <v>81</v>
      </c>
      <c r="G17" s="182">
        <f>IF(G16="",0,G15/G16)</f>
        <v>0</v>
      </c>
      <c r="H17" s="182">
        <f>IF(H16="",0,H15/H16)</f>
        <v>0</v>
      </c>
    </row>
    <row r="18" spans="5:8">
      <c r="E18" s="30"/>
      <c r="F18" s="30"/>
      <c r="G18" s="30"/>
    </row>
    <row r="19" spans="5:8"/>
    <row r="20" spans="5:8"/>
    <row r="21" spans="5:8"/>
    <row r="22" spans="5:8"/>
    <row r="23" spans="5:8"/>
    <row r="24" spans="5:8"/>
    <row r="25" spans="5:8"/>
    <row r="26" spans="5:8"/>
    <row r="27" spans="5:8"/>
    <row r="28" spans="5:8"/>
    <row r="29" spans="5:8"/>
    <row r="30" spans="5:8"/>
    <row r="31" spans="5:8"/>
    <row r="32" spans="5:8"/>
    <row r="33"/>
    <row r="34"/>
    <row r="35"/>
    <row r="36"/>
    <row r="37"/>
  </sheetData>
  <sheetProtection algorithmName="SHA-512" hashValue="eE0AFrf18rU3bE3e5YkFE3xFXICyetFgy5fkFXy1SKk5FsZU5I99jSAgP1QBIDvmprcnPhQN9nHZc4/Xpt60sA==" saltValue="J+2nuW6g/IuA5QgP58vbJw==" spinCount="100000" sheet="1" objects="1" scenarios="1"/>
  <mergeCells count="2">
    <mergeCell ref="E6:F7"/>
    <mergeCell ref="E8:H8"/>
  </mergeCells>
  <dataValidations count="1">
    <dataValidation type="decimal" allowBlank="1" showInputMessage="1" showErrorMessage="1" sqref="G13:H17">
      <formula1>-9.99999999999999E+36</formula1>
      <formula2>9.99999999999999E+36</formula2>
    </dataValidation>
  </dataValidations>
  <pageMargins left="0.7" right="0.7" top="0.75" bottom="0.75" header="0.3" footer="0.3"/>
  <pageSetup orientation="portrait" r:id="rId1"/>
  <headerFooter>
    <oddFooter>&amp;C&amp;"Arial"&amp;8&amp;K8585FF BSE -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E148"/>
  <sheetViews>
    <sheetView workbookViewId="0">
      <selection activeCell="B119" sqref="B10:B119"/>
    </sheetView>
  </sheetViews>
  <sheetFormatPr defaultRowHeight="15"/>
  <sheetData>
    <row r="1" spans="2:5">
      <c r="B1" s="1" t="s">
        <v>364</v>
      </c>
      <c r="E1">
        <v>148</v>
      </c>
    </row>
    <row r="2" spans="2:5">
      <c r="B2" s="1" t="s">
        <v>363</v>
      </c>
    </row>
    <row r="3" spans="2:5">
      <c r="B3" s="1" t="s">
        <v>362</v>
      </c>
    </row>
    <row r="4" spans="2:5">
      <c r="B4" s="1" t="s">
        <v>360</v>
      </c>
    </row>
    <row r="5" spans="2:5">
      <c r="B5" s="1" t="s">
        <v>361</v>
      </c>
    </row>
    <row r="6" spans="2:5">
      <c r="B6" s="1" t="s">
        <v>360</v>
      </c>
    </row>
    <row r="7" spans="2:5">
      <c r="B7" s="1" t="s">
        <v>359</v>
      </c>
    </row>
    <row r="8" spans="2:5">
      <c r="B8" s="1" t="s">
        <v>358</v>
      </c>
    </row>
    <row r="9" spans="2:5">
      <c r="B9" s="1" t="s">
        <v>357</v>
      </c>
    </row>
    <row r="10" spans="2:5">
      <c r="B10" s="1" t="s">
        <v>356</v>
      </c>
    </row>
    <row r="11" spans="2:5">
      <c r="B11" s="1" t="s">
        <v>356</v>
      </c>
    </row>
    <row r="12" spans="2:5">
      <c r="B12" s="1" t="s">
        <v>355</v>
      </c>
    </row>
    <row r="13" spans="2:5">
      <c r="B13" s="1" t="s">
        <v>354</v>
      </c>
    </row>
    <row r="14" spans="2:5">
      <c r="B14" s="1" t="s">
        <v>353</v>
      </c>
    </row>
    <row r="15" spans="2:5">
      <c r="B15" s="1" t="s">
        <v>352</v>
      </c>
    </row>
    <row r="16" spans="2:5">
      <c r="B16" s="1" t="s">
        <v>352</v>
      </c>
    </row>
    <row r="17" spans="2:2">
      <c r="B17" s="1" t="s">
        <v>351</v>
      </c>
    </row>
    <row r="18" spans="2:2">
      <c r="B18" s="1" t="s">
        <v>350</v>
      </c>
    </row>
    <row r="19" spans="2:2">
      <c r="B19" s="1" t="s">
        <v>351</v>
      </c>
    </row>
    <row r="20" spans="2:2">
      <c r="B20" s="1" t="s">
        <v>350</v>
      </c>
    </row>
    <row r="21" spans="2:2">
      <c r="B21" s="1" t="s">
        <v>349</v>
      </c>
    </row>
    <row r="22" spans="2:2">
      <c r="B22" s="1" t="s">
        <v>349</v>
      </c>
    </row>
    <row r="23" spans="2:2">
      <c r="B23" s="1" t="s">
        <v>349</v>
      </c>
    </row>
    <row r="24" spans="2:2">
      <c r="B24" s="1" t="s">
        <v>349</v>
      </c>
    </row>
    <row r="25" spans="2:2">
      <c r="B25" s="1" t="s">
        <v>351</v>
      </c>
    </row>
    <row r="26" spans="2:2">
      <c r="B26" s="1" t="s">
        <v>351</v>
      </c>
    </row>
    <row r="27" spans="2:2">
      <c r="B27" s="1" t="s">
        <v>350</v>
      </c>
    </row>
    <row r="28" spans="2:2">
      <c r="B28" s="1" t="s">
        <v>349</v>
      </c>
    </row>
    <row r="29" spans="2:2">
      <c r="B29" s="1" t="s">
        <v>352</v>
      </c>
    </row>
    <row r="30" spans="2:2">
      <c r="B30" s="1" t="s">
        <v>351</v>
      </c>
    </row>
    <row r="31" spans="2:2">
      <c r="B31" s="1" t="s">
        <v>350</v>
      </c>
    </row>
    <row r="32" spans="2:2">
      <c r="B32" s="1" t="s">
        <v>349</v>
      </c>
    </row>
    <row r="33" spans="2:2">
      <c r="B33" s="1" t="s">
        <v>357</v>
      </c>
    </row>
    <row r="34" spans="2:2">
      <c r="B34" s="1" t="s">
        <v>349</v>
      </c>
    </row>
    <row r="35" spans="2:2">
      <c r="B35" s="1" t="s">
        <v>383</v>
      </c>
    </row>
    <row r="36" spans="2:2">
      <c r="B36" s="1" t="s">
        <v>349</v>
      </c>
    </row>
    <row r="37" spans="2:2">
      <c r="B37" s="1" t="s">
        <v>413</v>
      </c>
    </row>
    <row r="38" spans="2:2">
      <c r="B38" s="1" t="s">
        <v>352</v>
      </c>
    </row>
    <row r="39" spans="2:2">
      <c r="B39" s="1" t="s">
        <v>416</v>
      </c>
    </row>
    <row r="40" spans="2:2">
      <c r="B40" s="1" t="s">
        <v>351</v>
      </c>
    </row>
    <row r="41" spans="2:2">
      <c r="B41" s="1" t="s">
        <v>591</v>
      </c>
    </row>
    <row r="42" spans="2:2">
      <c r="B42" s="1"/>
    </row>
    <row r="43" spans="2:2">
      <c r="B43" s="1" t="s">
        <v>592</v>
      </c>
    </row>
    <row r="44" spans="2:2">
      <c r="B44" s="1" t="s">
        <v>593</v>
      </c>
    </row>
    <row r="45" spans="2:2">
      <c r="B45" s="1" t="s">
        <v>593</v>
      </c>
    </row>
    <row r="46" spans="2:2">
      <c r="B46" s="1" t="s">
        <v>593</v>
      </c>
    </row>
    <row r="47" spans="2:2">
      <c r="B47" s="1" t="s">
        <v>351</v>
      </c>
    </row>
    <row r="48" spans="2:2">
      <c r="B48" s="1" t="s">
        <v>592</v>
      </c>
    </row>
    <row r="49" spans="2:2">
      <c r="B49" s="1" t="s">
        <v>593</v>
      </c>
    </row>
    <row r="50" spans="2:2">
      <c r="B50" s="1" t="s">
        <v>635</v>
      </c>
    </row>
    <row r="51" spans="2:2">
      <c r="B51" s="1" t="s">
        <v>383</v>
      </c>
    </row>
    <row r="52" spans="2:2">
      <c r="B52" s="1" t="s">
        <v>351</v>
      </c>
    </row>
    <row r="53" spans="2:2">
      <c r="B53" s="1" t="s">
        <v>593</v>
      </c>
    </row>
    <row r="54" spans="2:2">
      <c r="B54" s="1" t="s">
        <v>592</v>
      </c>
    </row>
    <row r="55" spans="2:2">
      <c r="B55" s="1" t="s">
        <v>636</v>
      </c>
    </row>
    <row r="56" spans="2:2">
      <c r="B56" s="1" t="s">
        <v>593</v>
      </c>
    </row>
    <row r="57" spans="2:2">
      <c r="B57" s="1" t="s">
        <v>637</v>
      </c>
    </row>
    <row r="58" spans="2:2">
      <c r="B58" s="1" t="s">
        <v>361</v>
      </c>
    </row>
    <row r="59" spans="2:2">
      <c r="B59" s="1" t="s">
        <v>638</v>
      </c>
    </row>
    <row r="60" spans="2:2">
      <c r="B60" s="1" t="s">
        <v>638</v>
      </c>
    </row>
    <row r="61" spans="2:2">
      <c r="B61" s="1" t="s">
        <v>639</v>
      </c>
    </row>
    <row r="62" spans="2:2">
      <c r="B62" s="1" t="s">
        <v>640</v>
      </c>
    </row>
    <row r="63" spans="2:2">
      <c r="B63" s="1" t="s">
        <v>641</v>
      </c>
    </row>
    <row r="64" spans="2:2">
      <c r="B64" s="1" t="s">
        <v>361</v>
      </c>
    </row>
    <row r="65" spans="2:2">
      <c r="B65" s="1" t="s">
        <v>638</v>
      </c>
    </row>
    <row r="66" spans="2:2">
      <c r="B66" s="1" t="s">
        <v>642</v>
      </c>
    </row>
    <row r="67" spans="2:2">
      <c r="B67" s="1" t="s">
        <v>639</v>
      </c>
    </row>
    <row r="68" spans="2:2">
      <c r="B68" s="1" t="s">
        <v>642</v>
      </c>
    </row>
    <row r="69" spans="2:2">
      <c r="B69" s="1" t="s">
        <v>639</v>
      </c>
    </row>
    <row r="70" spans="2:2">
      <c r="B70" s="1" t="s">
        <v>640</v>
      </c>
    </row>
    <row r="71" spans="2:2">
      <c r="B71" s="1" t="s">
        <v>641</v>
      </c>
    </row>
    <row r="72" spans="2:2">
      <c r="B72" s="1" t="s">
        <v>641</v>
      </c>
    </row>
    <row r="73" spans="2:2">
      <c r="B73" s="1" t="s">
        <v>640</v>
      </c>
    </row>
    <row r="74" spans="2:2">
      <c r="B74" s="1" t="s">
        <v>640</v>
      </c>
    </row>
    <row r="75" spans="2:2">
      <c r="B75" s="1" t="s">
        <v>643</v>
      </c>
    </row>
    <row r="76" spans="2:2">
      <c r="B76" s="1" t="s">
        <v>643</v>
      </c>
    </row>
    <row r="77" spans="2:2">
      <c r="B77" s="1" t="s">
        <v>641</v>
      </c>
    </row>
    <row r="78" spans="2:2">
      <c r="B78" s="1" t="s">
        <v>643</v>
      </c>
    </row>
    <row r="79" spans="2:2">
      <c r="B79" s="1" t="s">
        <v>644</v>
      </c>
    </row>
    <row r="80" spans="2:2">
      <c r="B80" s="1" t="s">
        <v>645</v>
      </c>
    </row>
    <row r="81" spans="2:2">
      <c r="B81" s="1" t="s">
        <v>646</v>
      </c>
    </row>
    <row r="82" spans="2:2">
      <c r="B82" s="1" t="s">
        <v>645</v>
      </c>
    </row>
    <row r="83" spans="2:2">
      <c r="B83" s="1" t="s">
        <v>646</v>
      </c>
    </row>
    <row r="84" spans="2:2">
      <c r="B84" s="1" t="s">
        <v>647</v>
      </c>
    </row>
    <row r="85" spans="2:2">
      <c r="B85" s="1" t="s">
        <v>648</v>
      </c>
    </row>
    <row r="86" spans="2:2">
      <c r="B86" s="1" t="s">
        <v>649</v>
      </c>
    </row>
    <row r="87" spans="2:2">
      <c r="B87" s="1" t="s">
        <v>650</v>
      </c>
    </row>
    <row r="88" spans="2:2">
      <c r="B88" s="1" t="s">
        <v>652</v>
      </c>
    </row>
    <row r="89" spans="2:2">
      <c r="B89" s="1" t="s">
        <v>653</v>
      </c>
    </row>
    <row r="90" spans="2:2">
      <c r="B90" s="1" t="s">
        <v>654</v>
      </c>
    </row>
    <row r="91" spans="2:2">
      <c r="B91" s="1" t="s">
        <v>654</v>
      </c>
    </row>
    <row r="92" spans="2:2">
      <c r="B92" s="1" t="s">
        <v>655</v>
      </c>
    </row>
    <row r="93" spans="2:2">
      <c r="B93" s="1" t="s">
        <v>655</v>
      </c>
    </row>
    <row r="94" spans="2:2">
      <c r="B94" s="1" t="s">
        <v>655</v>
      </c>
    </row>
    <row r="95" spans="2:2">
      <c r="B95" s="1" t="s">
        <v>655</v>
      </c>
    </row>
    <row r="96" spans="2:2">
      <c r="B96" s="1" t="s">
        <v>361</v>
      </c>
    </row>
    <row r="97" spans="2:2">
      <c r="B97" s="1" t="s">
        <v>361</v>
      </c>
    </row>
    <row r="98" spans="2:2">
      <c r="B98" s="1" t="s">
        <v>638</v>
      </c>
    </row>
    <row r="99" spans="2:2">
      <c r="B99" s="1"/>
    </row>
    <row r="100" spans="2:2">
      <c r="B100" s="1" t="s">
        <v>642</v>
      </c>
    </row>
    <row r="101" spans="2:2">
      <c r="B101" s="1" t="s">
        <v>361</v>
      </c>
    </row>
    <row r="102" spans="2:2">
      <c r="B102" s="1" t="s">
        <v>638</v>
      </c>
    </row>
    <row r="103" spans="2:2">
      <c r="B103" s="1" t="s">
        <v>642</v>
      </c>
    </row>
    <row r="104" spans="2:2">
      <c r="B104" s="1" t="s">
        <v>642</v>
      </c>
    </row>
    <row r="105" spans="2:2">
      <c r="B105" s="1" t="s">
        <v>656</v>
      </c>
    </row>
    <row r="106" spans="2:2">
      <c r="B106" s="1"/>
    </row>
    <row r="107" spans="2:2">
      <c r="B107" s="1"/>
    </row>
    <row r="108" spans="2:2">
      <c r="B108" s="1" t="s">
        <v>657</v>
      </c>
    </row>
    <row r="109" spans="2:2">
      <c r="B109" s="1" t="s">
        <v>658</v>
      </c>
    </row>
    <row r="110" spans="2:2">
      <c r="B110" s="1"/>
    </row>
    <row r="111" spans="2:2">
      <c r="B111" s="1"/>
    </row>
    <row r="112" spans="2:2">
      <c r="B112" s="1" t="s">
        <v>356</v>
      </c>
    </row>
    <row r="113" spans="2:2">
      <c r="B113" s="1" t="s">
        <v>356</v>
      </c>
    </row>
    <row r="114" spans="2:2">
      <c r="B114" s="1" t="s">
        <v>659</v>
      </c>
    </row>
    <row r="115" spans="2:2">
      <c r="B115" s="1" t="s">
        <v>660</v>
      </c>
    </row>
    <row r="116" spans="2:2">
      <c r="B116" s="1" t="s">
        <v>661</v>
      </c>
    </row>
    <row r="117" spans="2:2">
      <c r="B117" s="1" t="s">
        <v>662</v>
      </c>
    </row>
    <row r="118" spans="2:2">
      <c r="B118" s="1"/>
    </row>
    <row r="119" spans="2:2">
      <c r="B119" s="1"/>
    </row>
    <row r="120" spans="2:2">
      <c r="B120" s="1"/>
    </row>
    <row r="121" spans="2:2">
      <c r="B121" s="1"/>
    </row>
    <row r="122" spans="2:2">
      <c r="B122" s="1"/>
    </row>
    <row r="123" spans="2:2">
      <c r="B123" s="1"/>
    </row>
    <row r="124" spans="2:2">
      <c r="B124" s="1"/>
    </row>
    <row r="125" spans="2:2">
      <c r="B125" s="1"/>
    </row>
    <row r="126" spans="2:2">
      <c r="B126" s="1"/>
    </row>
    <row r="127" spans="2:2">
      <c r="B127" s="1"/>
    </row>
    <row r="128" spans="2:2">
      <c r="B128" s="1" t="s">
        <v>361</v>
      </c>
    </row>
    <row r="129" spans="2:2">
      <c r="B129" s="1" t="s">
        <v>638</v>
      </c>
    </row>
    <row r="130" spans="2:2">
      <c r="B130" s="1" t="s">
        <v>642</v>
      </c>
    </row>
    <row r="131" spans="2:2">
      <c r="B131" s="1" t="s">
        <v>663</v>
      </c>
    </row>
    <row r="132" spans="2:2">
      <c r="B132" s="1" t="s">
        <v>361</v>
      </c>
    </row>
    <row r="133" spans="2:2">
      <c r="B133" s="1" t="s">
        <v>638</v>
      </c>
    </row>
    <row r="134" spans="2:2">
      <c r="B134" s="1" t="s">
        <v>642</v>
      </c>
    </row>
    <row r="135" spans="2:2">
      <c r="B135" s="1" t="s">
        <v>361</v>
      </c>
    </row>
    <row r="136" spans="2:2">
      <c r="B136" s="1" t="s">
        <v>638</v>
      </c>
    </row>
    <row r="137" spans="2:2">
      <c r="B137" s="1" t="s">
        <v>642</v>
      </c>
    </row>
    <row r="138" spans="2:2">
      <c r="B138" s="1" t="s">
        <v>639</v>
      </c>
    </row>
    <row r="139" spans="2:2">
      <c r="B139" s="1" t="s">
        <v>641</v>
      </c>
    </row>
    <row r="140" spans="2:2">
      <c r="B140" s="1" t="s">
        <v>641</v>
      </c>
    </row>
    <row r="141" spans="2:2">
      <c r="B141" s="1"/>
    </row>
    <row r="142" spans="2:2">
      <c r="B142" s="1"/>
    </row>
    <row r="143" spans="2:2">
      <c r="B143" s="1"/>
    </row>
    <row r="144" spans="2:2">
      <c r="B144" s="1"/>
    </row>
    <row r="145" spans="2:2">
      <c r="B145" s="1" t="s">
        <v>641</v>
      </c>
    </row>
    <row r="146" spans="2:2">
      <c r="B146" s="1" t="s">
        <v>641</v>
      </c>
    </row>
    <row r="147" spans="2:2">
      <c r="B147" s="1"/>
    </row>
    <row r="148" spans="2:2">
      <c r="B148" s="1"/>
    </row>
  </sheetData>
  <pageMargins left="0.7" right="0.7" top="0.75" bottom="0.75" header="0.3" footer="0.3"/>
  <pageSetup orientation="portrait" r:id="rId1"/>
  <headerFooter>
    <oddFooter>&amp;C&amp;"Arial"&amp;8&amp;K8585FF BSE -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3"/>
  <sheetViews>
    <sheetView showGridLines="0" topLeftCell="D5" workbookViewId="0">
      <selection activeCell="E8" sqref="E8:J8"/>
    </sheetView>
  </sheetViews>
  <sheetFormatPr defaultColWidth="0" defaultRowHeight="15"/>
  <cols>
    <col min="1" max="3" width="0" hidden="1" customWidth="1"/>
    <col min="4" max="4" width="2.140625" customWidth="1"/>
    <col min="5" max="5" width="4.140625" customWidth="1"/>
    <col min="6" max="6" width="53.42578125" customWidth="1"/>
    <col min="7" max="12" width="18.140625" bestFit="1" customWidth="1"/>
    <col min="13" max="13" width="21.85546875" customWidth="1"/>
    <col min="14" max="15" width="18.140625" bestFit="1" customWidth="1"/>
    <col min="16" max="16" width="21.85546875" customWidth="1"/>
    <col min="17" max="17" width="18.140625" bestFit="1" customWidth="1"/>
    <col min="18" max="18" width="19.85546875" customWidth="1"/>
    <col min="19" max="19" width="18.140625" bestFit="1" customWidth="1"/>
    <col min="20" max="20" width="23.85546875" customWidth="1"/>
    <col min="21" max="21" width="18.140625" bestFit="1" customWidth="1"/>
    <col min="22" max="22" width="1.85546875" customWidth="1"/>
    <col min="23" max="23" width="9.140625" customWidth="1"/>
    <col min="24" max="16384" width="9.140625" hidden="1"/>
  </cols>
  <sheetData>
    <row r="1" spans="5:22" ht="27.75" hidden="1" customHeight="1">
      <c r="F1" t="s">
        <v>582</v>
      </c>
      <c r="G1" t="s">
        <v>583</v>
      </c>
      <c r="H1" t="s">
        <v>211</v>
      </c>
      <c r="I1">
        <v>0</v>
      </c>
    </row>
    <row r="2" spans="5:22" ht="23.25" hidden="1" customHeight="1">
      <c r="F2" t="s">
        <v>517</v>
      </c>
      <c r="G2" t="s">
        <v>668</v>
      </c>
    </row>
    <row r="3" spans="5:22" ht="19.5" hidden="1" customHeight="1"/>
    <row r="4" spans="5:22" ht="18" hidden="1" customHeight="1"/>
    <row r="5" spans="5:22" ht="20.100000000000001" customHeight="1"/>
    <row r="6" spans="5:22" ht="15" customHeight="1">
      <c r="E6" s="31" t="s">
        <v>688</v>
      </c>
    </row>
    <row r="7" spans="5:22" ht="30" customHeight="1">
      <c r="M7" s="32"/>
      <c r="N7" s="32"/>
      <c r="O7" s="32"/>
      <c r="P7" s="32"/>
      <c r="Q7" s="32"/>
      <c r="R7" s="32"/>
      <c r="S7" s="32"/>
      <c r="T7" s="32"/>
      <c r="U7" s="32"/>
    </row>
    <row r="8" spans="5:22" ht="30" customHeight="1">
      <c r="E8" s="306" t="s">
        <v>673</v>
      </c>
      <c r="F8" s="307"/>
      <c r="G8" s="307"/>
      <c r="H8" s="307"/>
      <c r="I8" s="307"/>
      <c r="J8" s="307"/>
      <c r="K8" s="32"/>
      <c r="L8" s="32"/>
      <c r="M8" s="32"/>
      <c r="N8" s="32"/>
      <c r="O8" s="32"/>
      <c r="P8" s="32"/>
      <c r="Q8" s="32"/>
      <c r="R8" s="32"/>
      <c r="S8" s="32"/>
      <c r="T8" s="32"/>
      <c r="U8" s="32"/>
      <c r="V8" s="32"/>
    </row>
    <row r="9" spans="5:22" ht="30">
      <c r="E9" s="33" t="s">
        <v>82</v>
      </c>
      <c r="F9" s="33" t="s">
        <v>83</v>
      </c>
      <c r="G9" s="33" t="s">
        <v>84</v>
      </c>
      <c r="H9" s="33" t="s">
        <v>85</v>
      </c>
      <c r="I9" s="33" t="s">
        <v>86</v>
      </c>
      <c r="J9" s="33" t="s">
        <v>87</v>
      </c>
      <c r="K9" s="32"/>
      <c r="L9" s="32"/>
      <c r="M9" s="32"/>
      <c r="N9" s="32"/>
      <c r="O9" s="32"/>
      <c r="P9" s="32"/>
      <c r="Q9" s="32"/>
      <c r="R9" s="32"/>
      <c r="S9" s="32"/>
      <c r="T9" s="32"/>
      <c r="U9" s="32"/>
      <c r="V9" s="32"/>
    </row>
    <row r="10" spans="5:22" ht="30.75" customHeight="1">
      <c r="E10" s="26">
        <v>1</v>
      </c>
      <c r="F10" s="194" t="s">
        <v>88</v>
      </c>
      <c r="G10" s="181"/>
      <c r="H10" s="161"/>
      <c r="I10" s="161"/>
      <c r="J10" s="181"/>
      <c r="K10" s="32"/>
      <c r="L10" s="32"/>
      <c r="M10" s="32"/>
      <c r="N10" s="32"/>
      <c r="O10" s="32"/>
      <c r="P10" s="32"/>
      <c r="Q10" s="32"/>
      <c r="R10" s="32"/>
      <c r="S10" s="93" t="s">
        <v>89</v>
      </c>
      <c r="T10" s="32"/>
      <c r="U10" s="32"/>
      <c r="V10" s="32"/>
    </row>
    <row r="11" spans="5:22" ht="17.25" customHeight="1">
      <c r="E11" s="26">
        <v>2</v>
      </c>
      <c r="F11" s="194" t="s">
        <v>90</v>
      </c>
      <c r="G11" s="181"/>
      <c r="H11" s="161"/>
      <c r="I11" s="161"/>
      <c r="J11" s="181"/>
      <c r="K11" s="32"/>
      <c r="L11" s="32"/>
      <c r="M11" s="32"/>
      <c r="N11" s="32"/>
      <c r="O11" s="32"/>
      <c r="P11" s="32"/>
      <c r="Q11" s="32"/>
      <c r="R11" s="32"/>
      <c r="S11" s="93" t="s">
        <v>91</v>
      </c>
      <c r="T11" s="32"/>
      <c r="U11" s="32"/>
      <c r="V11" s="32"/>
    </row>
    <row r="12" spans="5:22" ht="17.25" customHeight="1">
      <c r="E12" s="26">
        <v>3</v>
      </c>
      <c r="F12" s="194" t="s">
        <v>92</v>
      </c>
      <c r="G12" s="181"/>
      <c r="H12" s="161"/>
      <c r="I12" s="161"/>
      <c r="J12" s="181"/>
      <c r="K12" s="32"/>
      <c r="L12" s="32"/>
      <c r="M12" s="32"/>
      <c r="N12" s="32"/>
      <c r="O12" s="32"/>
      <c r="P12" s="32"/>
      <c r="Q12" s="32"/>
      <c r="R12" s="32"/>
      <c r="S12" s="93" t="s">
        <v>93</v>
      </c>
      <c r="T12" s="32"/>
      <c r="U12" s="32"/>
      <c r="V12" s="32"/>
    </row>
    <row r="13" spans="5:22">
      <c r="E13" s="28">
        <v>4</v>
      </c>
      <c r="F13" s="195" t="s">
        <v>94</v>
      </c>
      <c r="G13" s="181"/>
      <c r="H13" s="161"/>
      <c r="I13" s="161"/>
      <c r="J13" s="181"/>
      <c r="K13" s="32"/>
      <c r="L13" s="32"/>
      <c r="M13" s="32"/>
      <c r="N13" s="32"/>
      <c r="O13" s="32"/>
      <c r="P13" s="32"/>
      <c r="Q13" s="32"/>
      <c r="R13" s="32"/>
      <c r="S13" s="93" t="s">
        <v>95</v>
      </c>
      <c r="T13" s="32"/>
      <c r="U13" s="32"/>
      <c r="V13" s="32"/>
    </row>
    <row r="14" spans="5:22" ht="30" customHeight="1">
      <c r="E14" s="314" t="s">
        <v>664</v>
      </c>
      <c r="F14" s="315"/>
      <c r="G14" s="315"/>
      <c r="H14" s="315"/>
      <c r="I14" s="316"/>
      <c r="J14" s="203"/>
      <c r="K14" s="32"/>
      <c r="L14" s="32"/>
      <c r="M14" s="32"/>
      <c r="N14" s="32"/>
      <c r="O14" s="32"/>
      <c r="P14" s="32"/>
      <c r="Q14" s="32"/>
      <c r="R14" s="32"/>
      <c r="S14" s="32"/>
      <c r="T14" s="32"/>
      <c r="U14" s="32"/>
      <c r="V14" s="32"/>
    </row>
    <row r="15" spans="5:22">
      <c r="E15" s="34"/>
      <c r="F15" s="32"/>
      <c r="G15" s="32"/>
      <c r="H15" s="32"/>
      <c r="I15" s="32"/>
      <c r="J15" s="32"/>
      <c r="K15" s="32"/>
      <c r="L15" s="32"/>
      <c r="M15" s="32"/>
      <c r="N15" s="32"/>
      <c r="O15" s="32"/>
      <c r="P15" s="32"/>
      <c r="Q15" s="32"/>
      <c r="R15" s="32"/>
      <c r="S15" s="32"/>
      <c r="T15" s="32"/>
      <c r="U15" s="32"/>
      <c r="V15" s="32"/>
    </row>
    <row r="16" spans="5:22" ht="30" customHeight="1">
      <c r="E16" s="306" t="s">
        <v>96</v>
      </c>
      <c r="F16" s="307"/>
      <c r="G16" s="307"/>
      <c r="H16" s="308"/>
      <c r="I16" s="32"/>
      <c r="J16" s="32"/>
      <c r="K16" s="32"/>
      <c r="L16" s="32"/>
      <c r="M16" s="32"/>
      <c r="N16" s="32"/>
      <c r="O16" s="32"/>
      <c r="P16" s="32"/>
      <c r="Q16" s="32"/>
      <c r="R16" s="32"/>
      <c r="S16" s="32"/>
      <c r="T16" s="32"/>
      <c r="U16" s="32"/>
      <c r="V16" s="32"/>
    </row>
    <row r="17" spans="5:22" ht="30">
      <c r="E17" s="33" t="s">
        <v>82</v>
      </c>
      <c r="F17" s="25" t="s">
        <v>50</v>
      </c>
      <c r="G17" s="25" t="s">
        <v>672</v>
      </c>
      <c r="H17" s="25" t="s">
        <v>97</v>
      </c>
      <c r="I17" s="32"/>
      <c r="J17" s="32"/>
      <c r="K17" s="32"/>
      <c r="L17" s="32"/>
      <c r="M17" s="32"/>
      <c r="N17" s="32"/>
      <c r="O17" s="32"/>
      <c r="P17" s="32"/>
      <c r="Q17" s="32"/>
      <c r="R17" s="32"/>
      <c r="S17" s="32"/>
      <c r="T17" s="32"/>
      <c r="U17" s="32"/>
      <c r="V17" s="32"/>
    </row>
    <row r="18" spans="5:22" ht="32.25" customHeight="1">
      <c r="E18" s="35">
        <v>1</v>
      </c>
      <c r="F18" s="196" t="s">
        <v>98</v>
      </c>
      <c r="G18" s="161"/>
      <c r="H18" s="25"/>
      <c r="I18" s="32"/>
      <c r="J18" s="32"/>
      <c r="K18" s="32"/>
      <c r="L18" s="32"/>
      <c r="M18" s="32"/>
      <c r="N18" s="32"/>
      <c r="O18" s="32"/>
      <c r="P18" s="32"/>
      <c r="Q18" s="32"/>
      <c r="R18" s="32"/>
      <c r="S18" s="32"/>
      <c r="T18" s="32"/>
      <c r="U18" s="32"/>
      <c r="V18" s="32"/>
    </row>
    <row r="19" spans="5:22" ht="17.25" customHeight="1">
      <c r="E19" s="26">
        <v>2</v>
      </c>
      <c r="F19" s="197" t="s">
        <v>99</v>
      </c>
      <c r="G19" s="161"/>
      <c r="H19" s="25"/>
      <c r="I19" s="32"/>
      <c r="J19" s="32"/>
      <c r="K19" s="32"/>
      <c r="L19" s="32"/>
      <c r="M19" s="32"/>
      <c r="N19" s="32"/>
      <c r="O19" s="32"/>
      <c r="P19" s="32"/>
      <c r="Q19" s="32"/>
      <c r="R19" s="32"/>
      <c r="S19" s="32"/>
      <c r="T19" s="32"/>
      <c r="U19" s="32"/>
      <c r="V19" s="32"/>
    </row>
    <row r="20" spans="5:22" ht="33" customHeight="1">
      <c r="E20" s="26">
        <v>3</v>
      </c>
      <c r="F20" s="197" t="s">
        <v>100</v>
      </c>
      <c r="G20" s="161"/>
      <c r="H20" s="25"/>
      <c r="I20" s="32"/>
      <c r="J20" s="32"/>
      <c r="K20" s="32"/>
      <c r="L20" s="32"/>
      <c r="M20" s="32"/>
      <c r="N20" s="32"/>
      <c r="O20" s="32"/>
      <c r="P20" s="32"/>
      <c r="Q20" s="32"/>
      <c r="R20" s="32"/>
      <c r="S20" s="32"/>
      <c r="T20" s="32"/>
      <c r="U20" s="32"/>
      <c r="V20" s="32"/>
    </row>
    <row r="21" spans="5:22" ht="17.25" customHeight="1">
      <c r="E21" s="26" t="s">
        <v>45</v>
      </c>
      <c r="F21" s="197" t="s">
        <v>101</v>
      </c>
      <c r="G21" s="161"/>
      <c r="H21" s="25"/>
      <c r="I21" s="32"/>
      <c r="J21" s="32"/>
      <c r="K21" s="32"/>
      <c r="L21" s="32"/>
      <c r="M21" s="32"/>
      <c r="N21" s="32"/>
      <c r="O21" s="32"/>
      <c r="P21" s="32"/>
      <c r="Q21" s="32"/>
      <c r="R21" s="32"/>
      <c r="S21" s="32"/>
      <c r="T21" s="32"/>
      <c r="U21" s="32"/>
      <c r="V21" s="32"/>
    </row>
    <row r="22" spans="5:22" ht="20.25" customHeight="1">
      <c r="E22" s="26" t="s">
        <v>47</v>
      </c>
      <c r="F22" s="197" t="s">
        <v>102</v>
      </c>
      <c r="G22" s="161"/>
      <c r="H22" s="25"/>
      <c r="I22" s="32"/>
      <c r="J22" s="32"/>
      <c r="K22" s="32"/>
      <c r="L22" s="32"/>
      <c r="M22" s="32"/>
      <c r="N22" s="32"/>
      <c r="O22" s="32"/>
      <c r="P22" s="32"/>
      <c r="Q22" s="32"/>
      <c r="R22" s="32"/>
      <c r="S22" s="32"/>
      <c r="T22" s="32"/>
      <c r="U22" s="32"/>
      <c r="V22" s="32"/>
    </row>
    <row r="23" spans="5:22" ht="17.25" customHeight="1">
      <c r="E23" s="36" t="s">
        <v>76</v>
      </c>
      <c r="F23" s="198" t="s">
        <v>103</v>
      </c>
      <c r="G23" s="48"/>
      <c r="H23" s="202"/>
      <c r="I23" s="32"/>
      <c r="J23" s="32"/>
      <c r="K23" s="32"/>
      <c r="L23" s="32"/>
      <c r="M23" s="32"/>
      <c r="N23" s="32"/>
      <c r="O23" s="32"/>
      <c r="P23" s="32"/>
      <c r="Q23" s="32"/>
      <c r="R23" s="32"/>
      <c r="S23" s="32"/>
      <c r="T23" s="32"/>
      <c r="U23" s="32"/>
      <c r="V23" s="32"/>
    </row>
    <row r="24" spans="5:22" ht="30" customHeight="1">
      <c r="E24" s="314" t="s">
        <v>689</v>
      </c>
      <c r="F24" s="315"/>
      <c r="G24" s="316"/>
      <c r="H24" s="204"/>
      <c r="I24" s="32"/>
      <c r="J24" s="32"/>
      <c r="K24" s="32"/>
      <c r="L24" s="32"/>
      <c r="M24" s="32"/>
      <c r="N24" s="32"/>
      <c r="O24" s="32"/>
      <c r="P24" s="32"/>
      <c r="Q24" s="32"/>
      <c r="R24" s="32"/>
      <c r="S24" s="32"/>
      <c r="T24" s="32"/>
      <c r="U24" s="32"/>
      <c r="V24" s="32"/>
    </row>
    <row r="25" spans="5:22" ht="30" customHeight="1">
      <c r="E25" s="37"/>
      <c r="F25" s="38"/>
      <c r="G25" s="38"/>
      <c r="H25" s="38"/>
      <c r="I25" s="32"/>
      <c r="J25" s="32"/>
      <c r="K25" s="32"/>
      <c r="L25" s="32"/>
      <c r="M25" s="32"/>
      <c r="N25" s="32"/>
      <c r="O25" s="32"/>
      <c r="P25" s="32"/>
      <c r="Q25" s="32"/>
      <c r="R25" s="32"/>
      <c r="S25" s="32"/>
      <c r="T25" s="32"/>
      <c r="U25" s="32"/>
      <c r="V25" s="32"/>
    </row>
    <row r="26" spans="5:22" ht="22.5" customHeight="1">
      <c r="E26" s="34"/>
      <c r="F26" s="94" t="s">
        <v>104</v>
      </c>
      <c r="G26" s="95">
        <v>37</v>
      </c>
      <c r="H26" s="32"/>
      <c r="I26" s="32"/>
      <c r="J26" s="32"/>
      <c r="K26" s="32"/>
      <c r="L26" s="32"/>
      <c r="M26" s="32"/>
      <c r="N26" s="32"/>
      <c r="O26" s="32"/>
      <c r="P26" s="32"/>
      <c r="Q26" s="32"/>
      <c r="R26" s="32"/>
      <c r="S26" s="32"/>
      <c r="T26" s="32"/>
      <c r="U26" s="32"/>
      <c r="V26" s="32"/>
    </row>
    <row r="27" spans="5:22" ht="22.5" customHeight="1">
      <c r="E27" s="34"/>
      <c r="F27" s="32"/>
      <c r="G27" s="39"/>
      <c r="H27" s="32"/>
      <c r="I27" s="32"/>
      <c r="J27" s="32"/>
      <c r="K27" s="32"/>
      <c r="L27" s="32"/>
      <c r="M27" s="32"/>
      <c r="N27" s="32"/>
      <c r="O27" s="32"/>
      <c r="P27" s="32"/>
      <c r="Q27" s="32"/>
      <c r="R27" s="32"/>
      <c r="S27" s="32"/>
      <c r="T27" s="32"/>
      <c r="U27" s="32"/>
      <c r="V27" s="32"/>
    </row>
    <row r="28" spans="5:22" ht="30" customHeight="1">
      <c r="E28" s="309" t="s">
        <v>651</v>
      </c>
      <c r="F28" s="310"/>
      <c r="G28" s="310"/>
      <c r="H28" s="310"/>
      <c r="I28" s="310"/>
      <c r="J28" s="310"/>
      <c r="K28" s="310"/>
      <c r="L28" s="310"/>
      <c r="M28" s="310"/>
      <c r="N28" s="310"/>
      <c r="O28" s="310"/>
      <c r="P28" s="310"/>
      <c r="Q28" s="310"/>
      <c r="R28" s="310"/>
      <c r="S28" s="310"/>
      <c r="T28" s="310"/>
      <c r="U28" s="311"/>
    </row>
    <row r="29" spans="5:22" ht="30" customHeight="1">
      <c r="E29" s="312" t="s">
        <v>664</v>
      </c>
      <c r="F29" s="313"/>
      <c r="G29" s="185"/>
      <c r="H29" s="183"/>
      <c r="I29" s="183"/>
      <c r="J29" s="183"/>
      <c r="K29" s="183"/>
      <c r="L29" s="183"/>
      <c r="M29" s="183"/>
      <c r="N29" s="183"/>
      <c r="O29" s="183"/>
      <c r="P29" s="183"/>
      <c r="Q29" s="183"/>
      <c r="R29" s="183"/>
      <c r="S29" s="183"/>
      <c r="T29" s="183"/>
      <c r="U29" s="184"/>
    </row>
    <row r="30" spans="5:22" ht="20.100000000000001" customHeight="1">
      <c r="E30" s="40"/>
      <c r="F30" s="40"/>
      <c r="G30" s="305" t="s">
        <v>105</v>
      </c>
      <c r="H30" s="305"/>
      <c r="I30" s="305"/>
      <c r="J30" s="305"/>
      <c r="K30" s="305"/>
      <c r="L30" s="305"/>
      <c r="M30" s="305"/>
      <c r="N30" s="305" t="s">
        <v>106</v>
      </c>
      <c r="O30" s="305"/>
      <c r="P30" s="305"/>
      <c r="Q30" s="305"/>
      <c r="R30" s="305" t="s">
        <v>107</v>
      </c>
      <c r="S30" s="305"/>
      <c r="T30" s="305"/>
      <c r="U30" s="305"/>
    </row>
    <row r="31" spans="5:22" ht="45" customHeight="1">
      <c r="E31" s="87" t="s">
        <v>82</v>
      </c>
      <c r="F31" s="87" t="s">
        <v>681</v>
      </c>
      <c r="G31" s="41" t="s">
        <v>29</v>
      </c>
      <c r="H31" s="41" t="s">
        <v>677</v>
      </c>
      <c r="I31" s="41" t="s">
        <v>109</v>
      </c>
      <c r="J31" s="41" t="s">
        <v>110</v>
      </c>
      <c r="K31" s="41" t="s">
        <v>111</v>
      </c>
      <c r="L31" s="41" t="s">
        <v>112</v>
      </c>
      <c r="M31" s="41" t="s">
        <v>113</v>
      </c>
      <c r="N31" s="41" t="s">
        <v>114</v>
      </c>
      <c r="O31" s="41" t="s">
        <v>678</v>
      </c>
      <c r="P31" s="41" t="s">
        <v>560</v>
      </c>
      <c r="Q31" s="41" t="s">
        <v>116</v>
      </c>
      <c r="R31" s="41" t="s">
        <v>518</v>
      </c>
      <c r="S31" s="208" t="s">
        <v>695</v>
      </c>
      <c r="T31" s="41" t="s">
        <v>561</v>
      </c>
      <c r="U31" s="41" t="s">
        <v>519</v>
      </c>
    </row>
    <row r="32" spans="5:22" ht="45" hidden="1" customHeight="1">
      <c r="E32" s="42"/>
      <c r="F32" s="47"/>
      <c r="G32" s="42"/>
      <c r="H32" s="88"/>
      <c r="I32" s="88"/>
      <c r="J32" s="42"/>
      <c r="K32" s="47"/>
      <c r="L32" s="42"/>
      <c r="M32" s="42"/>
      <c r="N32" s="42"/>
      <c r="O32" s="88"/>
      <c r="P32" s="42"/>
      <c r="Q32" s="42"/>
      <c r="R32" s="42"/>
      <c r="S32" s="88"/>
      <c r="T32" s="42"/>
      <c r="U32" s="42"/>
    </row>
    <row r="33" spans="5:21" ht="30" customHeight="1">
      <c r="E33" s="44"/>
      <c r="F33" s="188">
        <v>81</v>
      </c>
      <c r="G33" s="45"/>
      <c r="H33" s="45"/>
      <c r="I33" s="45"/>
      <c r="J33" s="45"/>
      <c r="K33" s="45"/>
      <c r="L33" s="45"/>
      <c r="M33" s="45"/>
      <c r="N33" s="45"/>
      <c r="O33" s="45"/>
      <c r="P33" s="45"/>
      <c r="Q33" s="45"/>
      <c r="R33" s="45"/>
      <c r="S33" s="45"/>
      <c r="T33" s="45"/>
      <c r="U33" s="46"/>
    </row>
  </sheetData>
  <sheetProtection algorithmName="SHA-512" hashValue="2KIUqx452znLrcy6rejPmLf4Z1sAshrXlsFpux+MHh6ueuVDqGKSMRyNt/aFlJqULXdANGybWp9q+VVFddsDlQ==" saltValue="cTK1VgwMI5yOinZbcLMYyQ==" spinCount="100000" sheet="1" objects="1" scenarios="1"/>
  <mergeCells count="9">
    <mergeCell ref="G30:M30"/>
    <mergeCell ref="N30:Q30"/>
    <mergeCell ref="R30:U30"/>
    <mergeCell ref="E8:J8"/>
    <mergeCell ref="E16:H16"/>
    <mergeCell ref="E28:U28"/>
    <mergeCell ref="E29:F29"/>
    <mergeCell ref="E24:G24"/>
    <mergeCell ref="E14:I14"/>
  </mergeCells>
  <dataValidations count="3">
    <dataValidation type="decimal" allowBlank="1" showInputMessage="1" showErrorMessage="1" sqref="H32:I32 G10:I13 J10:J14 G18:G22 H23:H24 S32 O32">
      <formula1>-9.99999999999999E+36</formula1>
      <formula2>9.99999999999999E+36</formula2>
    </dataValidation>
    <dataValidation type="list" allowBlank="1" showInputMessage="1" showErrorMessage="1" sqref="F32">
      <formula1>$F$1:$H$1</formula1>
    </dataValidation>
    <dataValidation type="list" allowBlank="1" showInputMessage="1" showErrorMessage="1" sqref="K32">
      <formula1>$E$2:$G$2</formula1>
    </dataValidation>
  </dataValidations>
  <pageMargins left="0.7" right="0.7" top="0.75" bottom="0.75" header="0.3" footer="0.3"/>
  <pageSetup orientation="portrait" r:id="rId1"/>
  <headerFooter>
    <oddFooter>&amp;C&amp;"Arial"&amp;8&amp;K8585FF BSE - 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
  <sheetViews>
    <sheetView showGridLines="0" topLeftCell="D5" workbookViewId="0">
      <selection activeCell="E8" sqref="E8:N8"/>
    </sheetView>
  </sheetViews>
  <sheetFormatPr defaultColWidth="0" defaultRowHeight="15"/>
  <cols>
    <col min="1" max="3" width="0" hidden="1" customWidth="1"/>
    <col min="4" max="4" width="9.140625" customWidth="1"/>
    <col min="5" max="5" width="6.28515625" bestFit="1" customWidth="1"/>
    <col min="6" max="6" width="63.42578125" bestFit="1" customWidth="1"/>
    <col min="7" max="7" width="19.85546875" customWidth="1"/>
    <col min="8" max="9" width="23.28515625" bestFit="1" customWidth="1"/>
    <col min="10" max="10" width="17.42578125" bestFit="1" customWidth="1"/>
    <col min="11" max="14" width="23.28515625" bestFit="1" customWidth="1"/>
    <col min="15" max="17" width="9.140625" customWidth="1"/>
    <col min="18" max="16384" width="9.140625" hidden="1"/>
  </cols>
  <sheetData>
    <row r="1" spans="5:14" ht="21" hidden="1" customHeight="1">
      <c r="I1">
        <v>0</v>
      </c>
    </row>
    <row r="2" spans="5:14" ht="19.5" hidden="1" customHeight="1"/>
    <row r="3" spans="5:14" ht="26.25" hidden="1" customHeight="1">
      <c r="G3" t="s">
        <v>129</v>
      </c>
      <c r="H3" t="s">
        <v>130</v>
      </c>
      <c r="I3" t="s">
        <v>131</v>
      </c>
      <c r="J3" t="s">
        <v>132</v>
      </c>
      <c r="K3" t="s">
        <v>133</v>
      </c>
    </row>
    <row r="4" spans="5:14" ht="23.25" hidden="1" customHeight="1">
      <c r="J4" t="s">
        <v>134</v>
      </c>
      <c r="K4" t="s">
        <v>135</v>
      </c>
    </row>
    <row r="5" spans="5:14" ht="20.100000000000001" customHeight="1"/>
    <row r="6" spans="5:14" ht="15" customHeight="1">
      <c r="E6" s="322" t="s">
        <v>136</v>
      </c>
      <c r="F6" s="322"/>
    </row>
    <row r="7" spans="5:14" ht="15" customHeight="1">
      <c r="E7" s="323"/>
      <c r="F7" s="323"/>
      <c r="G7" s="97"/>
    </row>
    <row r="8" spans="5:14" ht="30" customHeight="1">
      <c r="E8" s="306" t="s">
        <v>137</v>
      </c>
      <c r="F8" s="307"/>
      <c r="G8" s="307"/>
      <c r="H8" s="317"/>
      <c r="I8" s="317"/>
      <c r="J8" s="317"/>
      <c r="K8" s="317"/>
      <c r="L8" s="317"/>
      <c r="M8" s="317"/>
      <c r="N8" s="318"/>
    </row>
    <row r="9" spans="5:14" ht="39" customHeight="1">
      <c r="E9" s="324" t="s">
        <v>665</v>
      </c>
      <c r="F9" s="325"/>
      <c r="G9" s="209"/>
      <c r="H9" s="210"/>
      <c r="I9" s="211"/>
      <c r="J9" s="211"/>
      <c r="K9" s="211"/>
      <c r="L9" s="211"/>
      <c r="M9" s="211"/>
      <c r="N9" s="212"/>
    </row>
    <row r="10" spans="5:14" ht="88.5" customHeight="1">
      <c r="E10" s="25" t="s">
        <v>138</v>
      </c>
      <c r="F10" s="25" t="s">
        <v>139</v>
      </c>
      <c r="G10" s="25" t="s">
        <v>140</v>
      </c>
      <c r="H10" s="33" t="s">
        <v>141</v>
      </c>
      <c r="I10" s="33" t="s">
        <v>142</v>
      </c>
      <c r="J10" s="33" t="s">
        <v>674</v>
      </c>
      <c r="K10" s="33" t="s">
        <v>143</v>
      </c>
      <c r="L10" s="33" t="s">
        <v>144</v>
      </c>
      <c r="M10" s="33" t="s">
        <v>675</v>
      </c>
      <c r="N10" s="33" t="s">
        <v>145</v>
      </c>
    </row>
    <row r="11" spans="5:14" ht="21" hidden="1" customHeight="1">
      <c r="E11" s="42"/>
      <c r="F11" s="42"/>
      <c r="G11" s="180"/>
      <c r="H11" s="47"/>
      <c r="I11" s="180"/>
      <c r="J11" s="88"/>
      <c r="K11" s="42"/>
      <c r="L11" s="47"/>
      <c r="M11" s="88"/>
      <c r="N11" s="42"/>
    </row>
    <row r="12" spans="5:14" ht="30" customHeight="1">
      <c r="E12" s="319">
        <v>69</v>
      </c>
      <c r="F12" s="320"/>
      <c r="G12" s="320"/>
      <c r="H12" s="320"/>
      <c r="I12" s="320"/>
      <c r="J12" s="320"/>
      <c r="K12" s="320"/>
      <c r="L12" s="320"/>
      <c r="M12" s="320"/>
      <c r="N12" s="321"/>
    </row>
  </sheetData>
  <sheetProtection algorithmName="SHA-512" hashValue="IQFjhDnoMNnZeMNfIByN7qNqQd6kqz/iLmA6qTLz0E9MJH2s/dp2rdIPKQumCGrlTY8btks2IKkDI0XLaIcluQ==" saltValue="Gzc6XT8RpPTqgNfOPEYj5A==" spinCount="100000" sheet="1" objects="1" scenarios="1"/>
  <mergeCells count="4">
    <mergeCell ref="E8:N8"/>
    <mergeCell ref="E12:N12"/>
    <mergeCell ref="E6:F7"/>
    <mergeCell ref="E9:F9"/>
  </mergeCells>
  <dataValidations count="3">
    <dataValidation type="list" allowBlank="1" showInputMessage="1" showErrorMessage="1" sqref="L11">
      <formula1>$J$4:$K$4</formula1>
    </dataValidation>
    <dataValidation type="list" allowBlank="1" showInputMessage="1" showErrorMessage="1" sqref="H11">
      <formula1>$H$3:$K$3</formula1>
    </dataValidation>
    <dataValidation type="decimal" allowBlank="1" showInputMessage="1" showErrorMessage="1" sqref="J11 M11">
      <formula1>-9.99999999999999E+36</formula1>
      <formula2>9.99999999999999E+36</formula2>
    </dataValidation>
  </dataValidations>
  <pageMargins left="0.7" right="0.7" top="0.75" bottom="0.75" header="0.3" footer="0.3"/>
  <pageSetup orientation="portrait" r:id="rId1"/>
  <headerFooter>
    <oddFooter>&amp;C&amp;"Arial"&amp;8&amp;K8585FF BSE -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D1:R13"/>
  <sheetViews>
    <sheetView showGridLines="0" topLeftCell="D5" workbookViewId="0">
      <selection activeCell="E8" sqref="E8:N8"/>
    </sheetView>
  </sheetViews>
  <sheetFormatPr defaultColWidth="0" defaultRowHeight="15"/>
  <cols>
    <col min="1" max="3" width="9.140625" hidden="1" customWidth="1"/>
    <col min="4" max="4" width="9.140625" customWidth="1"/>
    <col min="5" max="5" width="6.28515625" bestFit="1" customWidth="1"/>
    <col min="6" max="6" width="63.42578125" bestFit="1" customWidth="1"/>
    <col min="7" max="7" width="19.7109375" customWidth="1"/>
    <col min="8" max="9" width="23.28515625" bestFit="1" customWidth="1"/>
    <col min="10" max="10" width="17.42578125" bestFit="1" customWidth="1"/>
    <col min="11" max="14" width="23.28515625" bestFit="1" customWidth="1"/>
    <col min="15" max="18" width="9.140625" customWidth="1"/>
    <col min="19" max="16384" width="9.140625" hidden="1"/>
  </cols>
  <sheetData>
    <row r="1" spans="5:14" ht="15" hidden="1" customHeight="1">
      <c r="I1">
        <v>0</v>
      </c>
      <c r="J1">
        <v>1</v>
      </c>
    </row>
    <row r="2" spans="5:14" ht="29.25" hidden="1" customHeight="1"/>
    <row r="3" spans="5:14" ht="34.5" hidden="1" customHeight="1">
      <c r="G3" t="s">
        <v>634</v>
      </c>
      <c r="H3" t="s">
        <v>130</v>
      </c>
      <c r="I3" t="s">
        <v>131</v>
      </c>
      <c r="J3" t="s">
        <v>132</v>
      </c>
      <c r="K3" t="s">
        <v>133</v>
      </c>
    </row>
    <row r="4" spans="5:14" ht="30.75" hidden="1" customHeight="1">
      <c r="E4">
        <v>-2</v>
      </c>
      <c r="J4" t="s">
        <v>134</v>
      </c>
      <c r="K4" t="s">
        <v>135</v>
      </c>
    </row>
    <row r="5" spans="5:14" ht="21" customHeight="1">
      <c r="E5" s="186">
        <v>-2</v>
      </c>
    </row>
    <row r="6" spans="5:14" ht="15" customHeight="1">
      <c r="E6" s="186">
        <v>-2</v>
      </c>
    </row>
    <row r="7" spans="5:14" ht="15" customHeight="1">
      <c r="E7" s="96">
        <v>-2</v>
      </c>
      <c r="F7" s="96"/>
      <c r="G7" s="96">
        <v>8</v>
      </c>
    </row>
    <row r="8" spans="5:14" ht="30" customHeight="1">
      <c r="E8" s="306" t="s">
        <v>146</v>
      </c>
      <c r="F8" s="307"/>
      <c r="G8" s="307"/>
      <c r="H8" s="307"/>
      <c r="I8" s="307"/>
      <c r="J8" s="307"/>
      <c r="K8" s="307"/>
      <c r="L8" s="307"/>
      <c r="M8" s="307"/>
      <c r="N8" s="308"/>
    </row>
    <row r="9" spans="5:14" ht="35.25" customHeight="1">
      <c r="E9" s="324" t="s">
        <v>666</v>
      </c>
      <c r="F9" s="325"/>
      <c r="G9" s="187"/>
      <c r="H9" s="328"/>
      <c r="I9" s="329"/>
      <c r="J9" s="329"/>
      <c r="K9" s="329"/>
      <c r="L9" s="329"/>
      <c r="M9" s="329"/>
      <c r="N9" s="330"/>
    </row>
    <row r="10" spans="5:14" ht="75">
      <c r="E10" s="25" t="s">
        <v>138</v>
      </c>
      <c r="F10" s="25" t="s">
        <v>563</v>
      </c>
      <c r="G10" s="25" t="s">
        <v>523</v>
      </c>
      <c r="H10" s="25" t="s">
        <v>147</v>
      </c>
      <c r="I10" s="25" t="s">
        <v>148</v>
      </c>
      <c r="J10" s="25" t="s">
        <v>696</v>
      </c>
      <c r="K10" s="25" t="s">
        <v>149</v>
      </c>
      <c r="L10" s="25" t="s">
        <v>524</v>
      </c>
      <c r="M10" s="25" t="s">
        <v>697</v>
      </c>
      <c r="N10" s="25" t="s">
        <v>564</v>
      </c>
    </row>
    <row r="11" spans="5:14" ht="31.5" hidden="1" customHeight="1">
      <c r="E11" s="42"/>
      <c r="F11" s="42"/>
      <c r="G11" s="180"/>
      <c r="H11" s="47"/>
      <c r="I11" s="180"/>
      <c r="J11" s="88"/>
      <c r="K11" s="42"/>
      <c r="L11" s="47"/>
      <c r="M11" s="88"/>
      <c r="N11" s="42"/>
    </row>
    <row r="12" spans="5:14" ht="30" customHeight="1">
      <c r="E12" s="319">
        <v>78</v>
      </c>
      <c r="F12" s="326"/>
      <c r="G12" s="326"/>
      <c r="H12" s="326"/>
      <c r="I12" s="326"/>
      <c r="J12" s="326"/>
      <c r="K12" s="326"/>
      <c r="L12" s="326"/>
      <c r="M12" s="326"/>
      <c r="N12" s="327"/>
    </row>
    <row r="13" spans="5:14" ht="28.5" customHeight="1"/>
  </sheetData>
  <sheetProtection algorithmName="SHA-512" hashValue="NMVax6qjCl2OnNhgrx1+P0AZDTJMN0l1eaRAK7w8Txn2WV2sBkgxjFE8jEL4vwoUD0+3KoRsNkvEsivGn9p9lQ==" saltValue="/fit3TpG/Jwf3vNqzUog2g==" spinCount="100000" sheet="1" objects="1" scenarios="1"/>
  <mergeCells count="4">
    <mergeCell ref="E8:N8"/>
    <mergeCell ref="E12:N12"/>
    <mergeCell ref="E9:F9"/>
    <mergeCell ref="H9:N9"/>
  </mergeCells>
  <dataValidations count="3">
    <dataValidation type="list" allowBlank="1" showInputMessage="1" showErrorMessage="1" sqref="L11">
      <formula1>$J$4:$K$4</formula1>
    </dataValidation>
    <dataValidation type="list" allowBlank="1" showInputMessage="1" showErrorMessage="1" sqref="G3:K3 H11">
      <formula1>$G$3:$K$3</formula1>
    </dataValidation>
    <dataValidation type="decimal" allowBlank="1" showInputMessage="1" showErrorMessage="1" sqref="J11 M11">
      <formula1>-9.99999999999999E+36</formula1>
      <formula2>9.99999999999999E+36</formula2>
    </dataValidation>
  </dataValidations>
  <pageMargins left="0.7" right="0.7" top="0.75" bottom="0.75" header="0.3" footer="0.3"/>
  <pageSetup orientation="portrait" r:id="rId1"/>
  <headerFooter>
    <oddFooter>&amp;C&amp;"Arial"&amp;8&amp;K8585FF BSE -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54"/>
  <sheetViews>
    <sheetView showGridLines="0" topLeftCell="D5" workbookViewId="0">
      <selection activeCell="E8" sqref="E8:N8"/>
    </sheetView>
  </sheetViews>
  <sheetFormatPr defaultColWidth="0" defaultRowHeight="15" zeroHeight="1"/>
  <cols>
    <col min="1" max="3" width="0" hidden="1" customWidth="1"/>
    <col min="4" max="4" width="9.140625" customWidth="1"/>
    <col min="5" max="5" width="4.140625" customWidth="1"/>
    <col min="6" max="6" width="53.42578125" customWidth="1"/>
    <col min="7" max="8" width="18.140625" bestFit="1" customWidth="1"/>
    <col min="9" max="9" width="21.5703125" customWidth="1"/>
    <col min="10" max="15" width="18.140625" bestFit="1" customWidth="1"/>
    <col min="16" max="20" width="18.140625" hidden="1" customWidth="1"/>
    <col min="21" max="21" width="9.140625" hidden="1" customWidth="1"/>
    <col min="22" max="22" width="1.85546875" hidden="1" customWidth="1"/>
    <col min="23" max="23" width="9.140625" hidden="1" customWidth="1"/>
    <col min="24" max="16384" width="9.140625" hidden="1"/>
  </cols>
  <sheetData>
    <row r="1" spans="5:21" ht="15" hidden="1" customHeight="1">
      <c r="I1">
        <v>0</v>
      </c>
    </row>
    <row r="2" spans="5:21" ht="14.25" hidden="1" customHeight="1"/>
    <row r="3" spans="5:21" ht="25.5" hidden="1" customHeight="1">
      <c r="G3" t="s">
        <v>117</v>
      </c>
      <c r="H3" t="s">
        <v>118</v>
      </c>
      <c r="I3" t="s">
        <v>119</v>
      </c>
    </row>
    <row r="4" spans="5:21" ht="21.75" hidden="1" customHeight="1"/>
    <row r="5" spans="5:21" ht="20.100000000000001" customHeight="1"/>
    <row r="6" spans="5:21" ht="15" customHeight="1">
      <c r="E6" s="31"/>
    </row>
    <row r="7" spans="5:21" ht="15" customHeight="1">
      <c r="F7" s="96" t="s">
        <v>104</v>
      </c>
      <c r="G7" s="96">
        <v>38</v>
      </c>
      <c r="M7" s="32"/>
      <c r="N7" s="32"/>
      <c r="O7" s="32"/>
      <c r="P7" s="32"/>
      <c r="Q7" s="32"/>
      <c r="R7" s="32"/>
      <c r="S7" s="32"/>
      <c r="T7" s="32"/>
      <c r="U7" s="32"/>
    </row>
    <row r="8" spans="5:21" ht="30" customHeight="1">
      <c r="E8" s="306" t="s">
        <v>120</v>
      </c>
      <c r="F8" s="307"/>
      <c r="G8" s="307"/>
      <c r="H8" s="307"/>
      <c r="I8" s="307"/>
      <c r="J8" s="307"/>
      <c r="K8" s="307"/>
      <c r="L8" s="307"/>
      <c r="M8" s="307"/>
      <c r="N8" s="308"/>
    </row>
    <row r="9" spans="5:21" ht="32.25" customHeight="1">
      <c r="E9" s="324" t="s">
        <v>667</v>
      </c>
      <c r="F9" s="325"/>
      <c r="G9" s="187"/>
      <c r="H9" s="328"/>
      <c r="I9" s="329"/>
      <c r="J9" s="329"/>
      <c r="K9" s="329"/>
      <c r="L9" s="329"/>
      <c r="M9" s="329"/>
      <c r="N9" s="330"/>
    </row>
    <row r="10" spans="5:21" ht="32.25" customHeight="1">
      <c r="E10" s="48" t="s">
        <v>82</v>
      </c>
      <c r="F10" s="25" t="s">
        <v>121</v>
      </c>
      <c r="G10" s="25" t="s">
        <v>122</v>
      </c>
      <c r="H10" s="25" t="s">
        <v>123</v>
      </c>
      <c r="I10" s="25" t="s">
        <v>124</v>
      </c>
      <c r="J10" s="25" t="s">
        <v>125</v>
      </c>
      <c r="K10" s="25" t="s">
        <v>676</v>
      </c>
      <c r="L10" s="25" t="s">
        <v>126</v>
      </c>
      <c r="M10" s="25" t="s">
        <v>127</v>
      </c>
      <c r="N10" s="25" t="s">
        <v>128</v>
      </c>
    </row>
    <row r="11" spans="5:21" ht="26.25" hidden="1" customHeight="1">
      <c r="E11" s="42"/>
      <c r="F11" s="49"/>
      <c r="G11" s="180"/>
      <c r="H11" s="180"/>
      <c r="I11" s="42"/>
      <c r="J11" s="88"/>
      <c r="K11" s="88"/>
      <c r="L11" s="88"/>
      <c r="M11" s="180"/>
      <c r="N11" s="42"/>
    </row>
    <row r="12" spans="5:21" ht="29.25" customHeight="1">
      <c r="E12" s="331"/>
      <c r="F12" s="332"/>
      <c r="G12" s="332"/>
      <c r="H12" s="332"/>
      <c r="I12" s="332"/>
      <c r="J12" s="332"/>
      <c r="K12" s="332"/>
      <c r="L12" s="332"/>
      <c r="M12" s="332"/>
      <c r="N12" s="333"/>
    </row>
    <row r="13" spans="5:21"/>
    <row r="14" spans="5:21"/>
    <row r="15" spans="5:21"/>
    <row r="16" spans="5:21"/>
    <row r="17" spans="7:7"/>
    <row r="18" spans="7:7"/>
    <row r="19" spans="7:7"/>
    <row r="20" spans="7:7"/>
    <row r="21" spans="7:7">
      <c r="G21" s="1"/>
    </row>
    <row r="22" spans="7:7"/>
    <row r="23" spans="7:7"/>
    <row r="24" spans="7:7"/>
    <row r="25" spans="7:7"/>
    <row r="26" spans="7:7"/>
    <row r="27" spans="7:7"/>
    <row r="28" spans="7:7"/>
    <row r="29" spans="7:7"/>
    <row r="30" spans="7:7"/>
    <row r="31" spans="7:7"/>
    <row r="32" spans="7:7"/>
    <row r="33"/>
    <row r="34"/>
    <row r="35"/>
    <row r="36"/>
    <row r="37"/>
    <row r="38"/>
    <row r="39"/>
    <row r="40"/>
    <row r="41"/>
    <row r="42"/>
    <row r="43"/>
    <row r="44"/>
    <row r="45"/>
    <row r="46"/>
    <row r="47"/>
    <row r="48"/>
    <row r="49"/>
    <row r="50"/>
    <row r="51"/>
    <row r="52"/>
    <row r="53"/>
    <row r="54"/>
  </sheetData>
  <sheetProtection algorithmName="SHA-512" hashValue="srpMNfLQNQaUdnRyuuyJAwvLTJICk7PRwpGRXmB+tkYeGPIfPEJ1rYhAYN871hYciZ00YAk6sof5nXoPRJKu7Q==" saltValue="xraqQOrqs7y1UjA4nqulSw==" spinCount="100000" sheet="1" objects="1" scenarios="1"/>
  <mergeCells count="4">
    <mergeCell ref="E8:N8"/>
    <mergeCell ref="E12:N12"/>
    <mergeCell ref="E9:F9"/>
    <mergeCell ref="H9:N9"/>
  </mergeCells>
  <dataValidations count="2">
    <dataValidation type="list" allowBlank="1" showInputMessage="1" showErrorMessage="1" sqref="F11">
      <formula1>$G$3:$I$3</formula1>
    </dataValidation>
    <dataValidation type="decimal" allowBlank="1" showInputMessage="1" showErrorMessage="1" sqref="J11:L11">
      <formula1>-9.99999999999999E+36</formula1>
      <formula2>9.99999999999999E+36</formula2>
    </dataValidation>
  </dataValidations>
  <pageMargins left="0.7" right="0.7" top="0.75" bottom="0.75" header="0.3" footer="0.3"/>
  <pageSetup orientation="portrait" r:id="rId1"/>
  <headerFooter>
    <oddFooter>&amp;C&amp;"Arial"&amp;8&amp;K8585FF BSE - 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22"/>
  <sheetViews>
    <sheetView topLeftCell="B32" workbookViewId="0">
      <selection activeCell="C43" sqref="C43"/>
    </sheetView>
  </sheetViews>
  <sheetFormatPr defaultRowHeight="15"/>
  <cols>
    <col min="1" max="1" width="89.140625" customWidth="1"/>
    <col min="2" max="2" width="57.85546875" customWidth="1"/>
    <col min="3" max="3" width="52.140625" customWidth="1"/>
    <col min="4" max="4" width="14.28515625" customWidth="1"/>
    <col min="5" max="5" width="30.7109375" customWidth="1"/>
  </cols>
  <sheetData>
    <row r="1" spans="1:5" ht="18.75">
      <c r="A1" s="80" t="s">
        <v>233</v>
      </c>
      <c r="B1" s="80" t="s">
        <v>234</v>
      </c>
      <c r="C1" s="80" t="s">
        <v>235</v>
      </c>
      <c r="D1" s="80" t="s">
        <v>236</v>
      </c>
      <c r="E1" s="80" t="s">
        <v>237</v>
      </c>
    </row>
    <row r="2" spans="1:5" ht="18.75">
      <c r="A2" s="81" t="s">
        <v>238</v>
      </c>
      <c r="B2" s="81"/>
      <c r="C2" s="81"/>
      <c r="D2" s="81"/>
      <c r="E2" s="81"/>
    </row>
    <row r="3" spans="1:5">
      <c r="A3" s="82" t="s">
        <v>239</v>
      </c>
      <c r="B3" s="82" t="s">
        <v>26</v>
      </c>
      <c r="C3" s="108" t="s">
        <v>565</v>
      </c>
      <c r="D3" s="82" t="s">
        <v>240</v>
      </c>
      <c r="E3" s="82" t="s">
        <v>241</v>
      </c>
    </row>
    <row r="4" spans="1:5">
      <c r="A4" s="82" t="s">
        <v>515</v>
      </c>
      <c r="B4" s="82" t="s">
        <v>27</v>
      </c>
      <c r="C4" s="108" t="s">
        <v>242</v>
      </c>
      <c r="D4" s="82" t="s">
        <v>240</v>
      </c>
      <c r="E4" s="82"/>
    </row>
    <row r="5" spans="1:5">
      <c r="A5" s="82" t="s">
        <v>243</v>
      </c>
      <c r="B5" s="82" t="s">
        <v>28</v>
      </c>
      <c r="C5" s="82" t="s">
        <v>242</v>
      </c>
      <c r="D5" s="82" t="s">
        <v>240</v>
      </c>
      <c r="E5" s="82"/>
    </row>
    <row r="6" spans="1:5">
      <c r="A6" s="82" t="s">
        <v>29</v>
      </c>
      <c r="B6" s="82" t="s">
        <v>29</v>
      </c>
      <c r="C6" s="108" t="s">
        <v>385</v>
      </c>
      <c r="D6" s="82" t="s">
        <v>240</v>
      </c>
      <c r="E6" s="82"/>
    </row>
    <row r="7" spans="1:5">
      <c r="A7" s="82" t="s">
        <v>244</v>
      </c>
      <c r="B7" s="82" t="s">
        <v>30</v>
      </c>
      <c r="C7" s="82" t="s">
        <v>242</v>
      </c>
      <c r="D7" s="82" t="s">
        <v>240</v>
      </c>
      <c r="E7" s="82"/>
    </row>
    <row r="8" spans="1:5">
      <c r="A8" s="82" t="s">
        <v>516</v>
      </c>
      <c r="B8" s="82" t="s">
        <v>680</v>
      </c>
      <c r="C8" s="82" t="s">
        <v>245</v>
      </c>
      <c r="D8" s="82" t="s">
        <v>246</v>
      </c>
      <c r="E8" s="82"/>
    </row>
    <row r="9" spans="1:5">
      <c r="A9" s="82" t="s">
        <v>247</v>
      </c>
      <c r="B9" s="82" t="s">
        <v>31</v>
      </c>
      <c r="C9" s="82" t="s">
        <v>248</v>
      </c>
      <c r="D9" s="82" t="s">
        <v>246</v>
      </c>
      <c r="E9" s="82"/>
    </row>
    <row r="10" spans="1:5">
      <c r="A10" s="82" t="s">
        <v>249</v>
      </c>
      <c r="B10" s="82" t="s">
        <v>32</v>
      </c>
      <c r="C10" s="82" t="s">
        <v>248</v>
      </c>
      <c r="D10" s="82" t="s">
        <v>246</v>
      </c>
      <c r="E10" s="82"/>
    </row>
    <row r="11" spans="1:5">
      <c r="A11" s="82" t="s">
        <v>250</v>
      </c>
      <c r="B11" s="82" t="s">
        <v>33</v>
      </c>
      <c r="C11" s="82" t="s">
        <v>248</v>
      </c>
      <c r="D11" s="82" t="s">
        <v>246</v>
      </c>
      <c r="E11" s="82" t="s">
        <v>251</v>
      </c>
    </row>
    <row r="12" spans="1:5">
      <c r="A12" s="82" t="s">
        <v>252</v>
      </c>
      <c r="B12" s="82" t="s">
        <v>34</v>
      </c>
      <c r="C12" s="82" t="s">
        <v>248</v>
      </c>
      <c r="D12" s="82" t="s">
        <v>246</v>
      </c>
      <c r="E12" s="82" t="s">
        <v>253</v>
      </c>
    </row>
    <row r="13" spans="1:5">
      <c r="A13" s="82" t="s">
        <v>254</v>
      </c>
      <c r="B13" s="82" t="s">
        <v>35</v>
      </c>
      <c r="C13" s="82" t="s">
        <v>242</v>
      </c>
      <c r="D13" s="82" t="s">
        <v>246</v>
      </c>
      <c r="E13" s="82"/>
    </row>
    <row r="14" spans="1:5">
      <c r="A14" s="82" t="s">
        <v>255</v>
      </c>
      <c r="B14" s="82" t="s">
        <v>670</v>
      </c>
      <c r="C14" s="82" t="s">
        <v>256</v>
      </c>
      <c r="D14" s="82" t="s">
        <v>246</v>
      </c>
      <c r="E14" s="82"/>
    </row>
    <row r="15" spans="1:5">
      <c r="A15" s="82" t="s">
        <v>257</v>
      </c>
      <c r="B15" s="82" t="s">
        <v>37</v>
      </c>
      <c r="C15" s="82" t="s">
        <v>242</v>
      </c>
      <c r="D15" s="82" t="s">
        <v>246</v>
      </c>
      <c r="E15" s="82"/>
    </row>
    <row r="16" spans="1:5">
      <c r="A16" s="82" t="s">
        <v>258</v>
      </c>
      <c r="B16" s="82" t="s">
        <v>38</v>
      </c>
      <c r="C16" s="82" t="s">
        <v>242</v>
      </c>
      <c r="D16" s="82" t="s">
        <v>246</v>
      </c>
      <c r="E16" s="83"/>
    </row>
    <row r="17" spans="1:5">
      <c r="A17" s="83" t="s">
        <v>259</v>
      </c>
      <c r="B17" s="83" t="s">
        <v>39</v>
      </c>
      <c r="C17" s="83" t="s">
        <v>242</v>
      </c>
      <c r="D17" s="83" t="s">
        <v>246</v>
      </c>
      <c r="E17" s="83"/>
    </row>
    <row r="18" spans="1:5">
      <c r="A18" s="83" t="s">
        <v>260</v>
      </c>
      <c r="B18" s="83" t="s">
        <v>365</v>
      </c>
      <c r="C18" s="83" t="s">
        <v>248</v>
      </c>
      <c r="D18" s="83" t="s">
        <v>246</v>
      </c>
      <c r="E18" s="83" t="s">
        <v>261</v>
      </c>
    </row>
    <row r="19" spans="1:5">
      <c r="A19" s="83" t="s">
        <v>262</v>
      </c>
      <c r="B19" s="83" t="s">
        <v>366</v>
      </c>
      <c r="C19" s="83" t="s">
        <v>248</v>
      </c>
      <c r="D19" s="83" t="s">
        <v>246</v>
      </c>
      <c r="E19" s="83" t="s">
        <v>263</v>
      </c>
    </row>
    <row r="20" spans="1:5">
      <c r="A20" s="83" t="s">
        <v>264</v>
      </c>
      <c r="B20" s="83" t="s">
        <v>41</v>
      </c>
      <c r="C20" s="83" t="s">
        <v>265</v>
      </c>
      <c r="D20" s="83" t="s">
        <v>246</v>
      </c>
      <c r="E20" s="83"/>
    </row>
    <row r="21" spans="1:5">
      <c r="A21" s="83" t="s">
        <v>266</v>
      </c>
      <c r="B21" s="83" t="s">
        <v>43</v>
      </c>
      <c r="C21" s="83" t="s">
        <v>265</v>
      </c>
      <c r="D21" s="83" t="s">
        <v>246</v>
      </c>
      <c r="E21" s="83" t="s">
        <v>267</v>
      </c>
    </row>
    <row r="22" spans="1:5" ht="18.75">
      <c r="A22" s="81" t="s">
        <v>268</v>
      </c>
      <c r="B22" s="81"/>
      <c r="C22" s="81"/>
      <c r="D22" s="81"/>
      <c r="E22" s="81"/>
    </row>
    <row r="23" spans="1:5">
      <c r="B23" t="s">
        <v>526</v>
      </c>
      <c r="E23" t="s">
        <v>269</v>
      </c>
    </row>
    <row r="24" spans="1:5">
      <c r="B24" t="s">
        <v>527</v>
      </c>
      <c r="E24" t="s">
        <v>270</v>
      </c>
    </row>
    <row r="25" spans="1:5">
      <c r="A25" t="s">
        <v>271</v>
      </c>
      <c r="B25" t="s">
        <v>51</v>
      </c>
      <c r="C25" t="s">
        <v>248</v>
      </c>
      <c r="D25" t="s">
        <v>246</v>
      </c>
      <c r="E25" t="s">
        <v>272</v>
      </c>
    </row>
    <row r="26" spans="1:5">
      <c r="A26" t="s">
        <v>273</v>
      </c>
      <c r="B26" t="s">
        <v>52</v>
      </c>
      <c r="C26" t="s">
        <v>248</v>
      </c>
      <c r="D26" t="s">
        <v>246</v>
      </c>
      <c r="E26" t="s">
        <v>274</v>
      </c>
    </row>
    <row r="27" spans="1:5">
      <c r="A27" t="s">
        <v>56</v>
      </c>
      <c r="B27" t="s">
        <v>55</v>
      </c>
      <c r="C27" t="s">
        <v>275</v>
      </c>
      <c r="D27" t="s">
        <v>246</v>
      </c>
      <c r="E27" t="s">
        <v>276</v>
      </c>
    </row>
    <row r="28" spans="1:5">
      <c r="A28" t="s">
        <v>57</v>
      </c>
      <c r="B28" t="s">
        <v>277</v>
      </c>
      <c r="C28" t="s">
        <v>278</v>
      </c>
      <c r="D28" t="s">
        <v>246</v>
      </c>
    </row>
    <row r="29" spans="1:5">
      <c r="A29" t="s">
        <v>59</v>
      </c>
      <c r="B29" t="s">
        <v>58</v>
      </c>
      <c r="C29" t="s">
        <v>275</v>
      </c>
      <c r="D29" t="s">
        <v>246</v>
      </c>
      <c r="E29" t="s">
        <v>279</v>
      </c>
    </row>
    <row r="30" spans="1:5">
      <c r="A30" t="s">
        <v>60</v>
      </c>
      <c r="B30" t="s">
        <v>280</v>
      </c>
      <c r="C30" t="s">
        <v>278</v>
      </c>
      <c r="D30" t="s">
        <v>246</v>
      </c>
    </row>
    <row r="31" spans="1:5">
      <c r="A31" t="s">
        <v>62</v>
      </c>
      <c r="B31" t="s">
        <v>61</v>
      </c>
      <c r="C31" t="s">
        <v>275</v>
      </c>
      <c r="D31" t="s">
        <v>246</v>
      </c>
      <c r="E31" t="s">
        <v>281</v>
      </c>
    </row>
    <row r="32" spans="1:5">
      <c r="A32" t="s">
        <v>63</v>
      </c>
      <c r="B32" t="s">
        <v>282</v>
      </c>
      <c r="C32" t="s">
        <v>278</v>
      </c>
      <c r="D32" t="s">
        <v>246</v>
      </c>
    </row>
    <row r="33" spans="1:5">
      <c r="A33" t="s">
        <v>65</v>
      </c>
      <c r="B33" t="s">
        <v>64</v>
      </c>
      <c r="C33" t="s">
        <v>275</v>
      </c>
      <c r="D33" t="s">
        <v>246</v>
      </c>
      <c r="E33" t="s">
        <v>283</v>
      </c>
    </row>
    <row r="34" spans="1:5">
      <c r="A34" t="s">
        <v>66</v>
      </c>
      <c r="B34" t="s">
        <v>284</v>
      </c>
      <c r="C34" t="s">
        <v>278</v>
      </c>
      <c r="D34" t="s">
        <v>246</v>
      </c>
    </row>
    <row r="35" spans="1:5">
      <c r="A35" t="s">
        <v>285</v>
      </c>
      <c r="B35" t="s">
        <v>67</v>
      </c>
      <c r="C35" t="s">
        <v>248</v>
      </c>
      <c r="D35" t="s">
        <v>246</v>
      </c>
      <c r="E35" t="s">
        <v>286</v>
      </c>
    </row>
    <row r="36" spans="1:5">
      <c r="A36" t="s">
        <v>287</v>
      </c>
      <c r="B36" t="s">
        <v>68</v>
      </c>
      <c r="C36" t="s">
        <v>248</v>
      </c>
      <c r="D36" t="s">
        <v>246</v>
      </c>
      <c r="E36" t="s">
        <v>288</v>
      </c>
    </row>
    <row r="37" spans="1:5" ht="18.75">
      <c r="A37" s="81" t="s">
        <v>289</v>
      </c>
      <c r="B37" s="81"/>
      <c r="C37" s="81"/>
      <c r="D37" s="81"/>
      <c r="E37" s="81"/>
    </row>
    <row r="38" spans="1:5">
      <c r="B38" t="s">
        <v>46</v>
      </c>
      <c r="E38" t="s">
        <v>269</v>
      </c>
    </row>
    <row r="39" spans="1:5">
      <c r="B39" t="s">
        <v>48</v>
      </c>
      <c r="E39" t="s">
        <v>270</v>
      </c>
    </row>
    <row r="40" spans="1:5">
      <c r="A40" t="s">
        <v>74</v>
      </c>
      <c r="B40" t="s">
        <v>74</v>
      </c>
      <c r="C40" t="s">
        <v>275</v>
      </c>
      <c r="D40" t="s">
        <v>246</v>
      </c>
      <c r="E40" t="s">
        <v>290</v>
      </c>
    </row>
    <row r="41" spans="1:5">
      <c r="A41" t="s">
        <v>75</v>
      </c>
      <c r="B41" t="s">
        <v>75</v>
      </c>
      <c r="C41" t="s">
        <v>275</v>
      </c>
      <c r="D41" t="s">
        <v>246</v>
      </c>
      <c r="E41" t="s">
        <v>291</v>
      </c>
    </row>
    <row r="42" spans="1:5">
      <c r="A42" t="s">
        <v>292</v>
      </c>
      <c r="B42" t="s">
        <v>77</v>
      </c>
      <c r="C42" t="s">
        <v>275</v>
      </c>
      <c r="D42" t="s">
        <v>246</v>
      </c>
      <c r="E42" t="s">
        <v>293</v>
      </c>
    </row>
    <row r="43" spans="1:5">
      <c r="A43" t="s">
        <v>294</v>
      </c>
      <c r="B43" t="s">
        <v>79</v>
      </c>
      <c r="C43" t="s">
        <v>278</v>
      </c>
      <c r="D43" t="s">
        <v>246</v>
      </c>
      <c r="E43" t="s">
        <v>295</v>
      </c>
    </row>
    <row r="44" spans="1:5">
      <c r="A44" t="s">
        <v>296</v>
      </c>
      <c r="B44" t="s">
        <v>81</v>
      </c>
      <c r="C44" t="s">
        <v>275</v>
      </c>
      <c r="D44" t="s">
        <v>246</v>
      </c>
      <c r="E44" t="s">
        <v>297</v>
      </c>
    </row>
    <row r="45" spans="1:5" ht="18.75">
      <c r="A45" s="81" t="s">
        <v>308</v>
      </c>
      <c r="B45" s="81"/>
      <c r="C45" s="81"/>
      <c r="D45" s="81"/>
      <c r="E45" s="81"/>
    </row>
    <row r="46" spans="1:5">
      <c r="A46" s="31" t="s">
        <v>417</v>
      </c>
      <c r="B46" t="s">
        <v>139</v>
      </c>
      <c r="C46" t="s">
        <v>242</v>
      </c>
      <c r="D46" t="s">
        <v>246</v>
      </c>
      <c r="E46" t="s">
        <v>299</v>
      </c>
    </row>
    <row r="47" spans="1:5">
      <c r="A47" t="s">
        <v>418</v>
      </c>
      <c r="B47" t="s">
        <v>140</v>
      </c>
      <c r="C47" t="s">
        <v>248</v>
      </c>
      <c r="D47" t="s">
        <v>246</v>
      </c>
      <c r="E47" t="s">
        <v>300</v>
      </c>
    </row>
    <row r="48" spans="1:5">
      <c r="A48" s="31" t="s">
        <v>419</v>
      </c>
      <c r="B48" t="s">
        <v>141</v>
      </c>
      <c r="C48" t="s">
        <v>426</v>
      </c>
      <c r="D48" t="s">
        <v>246</v>
      </c>
      <c r="E48" t="s">
        <v>301</v>
      </c>
    </row>
    <row r="49" spans="1:6">
      <c r="A49" t="s">
        <v>420</v>
      </c>
      <c r="B49" t="s">
        <v>142</v>
      </c>
      <c r="C49" t="s">
        <v>248</v>
      </c>
      <c r="D49" t="s">
        <v>246</v>
      </c>
      <c r="E49" t="s">
        <v>302</v>
      </c>
    </row>
    <row r="50" spans="1:6">
      <c r="A50" t="s">
        <v>421</v>
      </c>
      <c r="B50" t="s">
        <v>674</v>
      </c>
      <c r="C50" t="s">
        <v>275</v>
      </c>
      <c r="D50" t="s">
        <v>246</v>
      </c>
      <c r="E50" t="s">
        <v>303</v>
      </c>
    </row>
    <row r="51" spans="1:6">
      <c r="A51" t="s">
        <v>422</v>
      </c>
      <c r="B51" t="s">
        <v>143</v>
      </c>
      <c r="C51" t="s">
        <v>242</v>
      </c>
      <c r="D51" s="82" t="s">
        <v>240</v>
      </c>
      <c r="E51" t="s">
        <v>304</v>
      </c>
    </row>
    <row r="52" spans="1:6">
      <c r="A52" t="s">
        <v>423</v>
      </c>
      <c r="B52" t="s">
        <v>144</v>
      </c>
      <c r="C52" t="s">
        <v>427</v>
      </c>
      <c r="D52" t="s">
        <v>246</v>
      </c>
      <c r="E52" t="s">
        <v>305</v>
      </c>
    </row>
    <row r="53" spans="1:6">
      <c r="A53" t="s">
        <v>424</v>
      </c>
      <c r="B53" t="s">
        <v>675</v>
      </c>
      <c r="C53" t="s">
        <v>275</v>
      </c>
      <c r="D53" t="s">
        <v>246</v>
      </c>
      <c r="E53" t="s">
        <v>306</v>
      </c>
    </row>
    <row r="54" spans="1:6">
      <c r="A54" t="s">
        <v>425</v>
      </c>
      <c r="B54" t="s">
        <v>145</v>
      </c>
      <c r="C54" t="s">
        <v>242</v>
      </c>
      <c r="D54" s="82" t="s">
        <v>240</v>
      </c>
      <c r="E54" t="s">
        <v>307</v>
      </c>
    </row>
    <row r="55" spans="1:6">
      <c r="A55" t="s">
        <v>429</v>
      </c>
      <c r="B55" t="s">
        <v>428</v>
      </c>
      <c r="C55" t="s">
        <v>372</v>
      </c>
      <c r="D55" t="s">
        <v>246</v>
      </c>
    </row>
    <row r="56" spans="1:6" ht="18.75">
      <c r="A56" s="81" t="s">
        <v>309</v>
      </c>
      <c r="B56" s="81"/>
      <c r="C56" s="81"/>
      <c r="D56" s="81"/>
      <c r="E56" s="81"/>
    </row>
    <row r="57" spans="1:6">
      <c r="A57" t="s">
        <v>401</v>
      </c>
      <c r="B57" t="s">
        <v>121</v>
      </c>
      <c r="C57" t="s">
        <v>410</v>
      </c>
      <c r="D57" t="s">
        <v>246</v>
      </c>
      <c r="E57" t="s">
        <v>310</v>
      </c>
      <c r="F57" t="s">
        <v>311</v>
      </c>
    </row>
    <row r="58" spans="1:6">
      <c r="A58" t="s">
        <v>402</v>
      </c>
      <c r="B58" t="s">
        <v>122</v>
      </c>
      <c r="C58" t="s">
        <v>248</v>
      </c>
      <c r="D58" t="s">
        <v>246</v>
      </c>
      <c r="E58" t="s">
        <v>312</v>
      </c>
    </row>
    <row r="59" spans="1:6">
      <c r="A59" t="s">
        <v>403</v>
      </c>
      <c r="B59" t="s">
        <v>123</v>
      </c>
      <c r="C59" t="s">
        <v>248</v>
      </c>
      <c r="D59" t="s">
        <v>246</v>
      </c>
      <c r="E59" t="s">
        <v>313</v>
      </c>
    </row>
    <row r="60" spans="1:6">
      <c r="A60" t="s">
        <v>404</v>
      </c>
      <c r="B60" t="s">
        <v>124</v>
      </c>
      <c r="C60" t="s">
        <v>248</v>
      </c>
      <c r="D60" t="s">
        <v>246</v>
      </c>
      <c r="E60" t="s">
        <v>314</v>
      </c>
      <c r="F60" t="s">
        <v>311</v>
      </c>
    </row>
    <row r="61" spans="1:6">
      <c r="A61" t="s">
        <v>405</v>
      </c>
      <c r="B61" t="s">
        <v>125</v>
      </c>
      <c r="C61" t="s">
        <v>278</v>
      </c>
      <c r="D61" t="s">
        <v>246</v>
      </c>
      <c r="E61" t="s">
        <v>315</v>
      </c>
    </row>
    <row r="62" spans="1:6">
      <c r="A62" t="s">
        <v>406</v>
      </c>
      <c r="B62" t="s">
        <v>676</v>
      </c>
      <c r="C62" t="s">
        <v>275</v>
      </c>
      <c r="D62" t="s">
        <v>246</v>
      </c>
      <c r="E62" t="s">
        <v>316</v>
      </c>
    </row>
    <row r="63" spans="1:6">
      <c r="A63" t="s">
        <v>407</v>
      </c>
      <c r="B63" t="s">
        <v>126</v>
      </c>
      <c r="C63" t="s">
        <v>278</v>
      </c>
      <c r="D63" t="s">
        <v>246</v>
      </c>
      <c r="E63" t="s">
        <v>317</v>
      </c>
    </row>
    <row r="64" spans="1:6">
      <c r="A64" t="s">
        <v>408</v>
      </c>
      <c r="B64" t="s">
        <v>127</v>
      </c>
      <c r="C64" t="s">
        <v>248</v>
      </c>
      <c r="D64" t="s">
        <v>246</v>
      </c>
      <c r="E64" t="s">
        <v>318</v>
      </c>
    </row>
    <row r="65" spans="1:8">
      <c r="A65" t="s">
        <v>409</v>
      </c>
      <c r="B65" t="s">
        <v>128</v>
      </c>
      <c r="C65" t="s">
        <v>242</v>
      </c>
      <c r="D65" s="82" t="s">
        <v>240</v>
      </c>
    </row>
    <row r="66" spans="1:8">
      <c r="A66" t="s">
        <v>415</v>
      </c>
      <c r="B66" t="s">
        <v>414</v>
      </c>
      <c r="C66" t="s">
        <v>372</v>
      </c>
      <c r="D66" t="s">
        <v>246</v>
      </c>
    </row>
    <row r="67" spans="1:8" ht="18.75">
      <c r="A67" s="81" t="s">
        <v>319</v>
      </c>
      <c r="B67" s="81"/>
      <c r="C67" s="81"/>
      <c r="D67" s="81"/>
      <c r="E67" s="81"/>
    </row>
    <row r="68" spans="1:8">
      <c r="A68" t="s">
        <v>320</v>
      </c>
      <c r="B68" t="s">
        <v>89</v>
      </c>
      <c r="C68" t="s">
        <v>321</v>
      </c>
      <c r="D68" t="s">
        <v>246</v>
      </c>
    </row>
    <row r="69" spans="1:8">
      <c r="A69" t="s">
        <v>322</v>
      </c>
      <c r="B69" t="s">
        <v>91</v>
      </c>
      <c r="C69" t="s">
        <v>321</v>
      </c>
      <c r="D69" t="s">
        <v>246</v>
      </c>
    </row>
    <row r="70" spans="1:8">
      <c r="A70" t="s">
        <v>323</v>
      </c>
      <c r="B70" t="s">
        <v>93</v>
      </c>
      <c r="C70" t="s">
        <v>321</v>
      </c>
      <c r="D70" t="s">
        <v>246</v>
      </c>
    </row>
    <row r="71" spans="1:8">
      <c r="A71" t="s">
        <v>324</v>
      </c>
      <c r="B71" t="s">
        <v>95</v>
      </c>
      <c r="C71" t="s">
        <v>321</v>
      </c>
      <c r="D71" t="s">
        <v>246</v>
      </c>
    </row>
    <row r="72" spans="1:8">
      <c r="A72" t="s">
        <v>367</v>
      </c>
      <c r="B72" t="s">
        <v>84</v>
      </c>
      <c r="C72" t="s">
        <v>325</v>
      </c>
      <c r="D72" s="82" t="s">
        <v>240</v>
      </c>
    </row>
    <row r="73" spans="1:8">
      <c r="A73" t="s">
        <v>368</v>
      </c>
      <c r="B73" t="s">
        <v>85</v>
      </c>
      <c r="C73" t="s">
        <v>275</v>
      </c>
      <c r="D73" t="s">
        <v>246</v>
      </c>
    </row>
    <row r="74" spans="1:8">
      <c r="A74" t="s">
        <v>369</v>
      </c>
      <c r="B74" t="s">
        <v>86</v>
      </c>
      <c r="C74" t="s">
        <v>275</v>
      </c>
      <c r="D74" t="s">
        <v>246</v>
      </c>
    </row>
    <row r="75" spans="1:8">
      <c r="A75" t="s">
        <v>367</v>
      </c>
      <c r="B75" t="s">
        <v>87</v>
      </c>
      <c r="C75" t="s">
        <v>325</v>
      </c>
      <c r="D75" t="s">
        <v>240</v>
      </c>
    </row>
    <row r="76" spans="1:8">
      <c r="A76" t="s">
        <v>374</v>
      </c>
      <c r="B76" s="31" t="s">
        <v>373</v>
      </c>
      <c r="C76" t="s">
        <v>372</v>
      </c>
      <c r="D76" t="s">
        <v>246</v>
      </c>
      <c r="E76" t="s">
        <v>370</v>
      </c>
      <c r="F76" t="s">
        <v>371</v>
      </c>
      <c r="G76" t="s">
        <v>372</v>
      </c>
      <c r="H76" t="s">
        <v>246</v>
      </c>
    </row>
    <row r="77" spans="1:8">
      <c r="B77" t="s">
        <v>88</v>
      </c>
      <c r="E77" t="s">
        <v>326</v>
      </c>
    </row>
    <row r="78" spans="1:8">
      <c r="B78" t="s">
        <v>90</v>
      </c>
      <c r="E78" t="s">
        <v>327</v>
      </c>
    </row>
    <row r="79" spans="1:8">
      <c r="B79" t="s">
        <v>92</v>
      </c>
      <c r="E79" t="s">
        <v>328</v>
      </c>
    </row>
    <row r="80" spans="1:8">
      <c r="B80" t="s">
        <v>94</v>
      </c>
      <c r="E80" t="s">
        <v>329</v>
      </c>
    </row>
    <row r="81" spans="1:6">
      <c r="A81" t="s">
        <v>376</v>
      </c>
      <c r="B81" t="s">
        <v>98</v>
      </c>
      <c r="C81" t="s">
        <v>275</v>
      </c>
      <c r="D81" t="s">
        <v>246</v>
      </c>
      <c r="E81" t="s">
        <v>330</v>
      </c>
    </row>
    <row r="82" spans="1:6">
      <c r="A82" t="s">
        <v>377</v>
      </c>
      <c r="B82" t="s">
        <v>99</v>
      </c>
      <c r="C82" t="s">
        <v>275</v>
      </c>
      <c r="D82" t="s">
        <v>246</v>
      </c>
      <c r="E82" t="s">
        <v>331</v>
      </c>
    </row>
    <row r="83" spans="1:6">
      <c r="A83" t="s">
        <v>378</v>
      </c>
      <c r="B83" t="s">
        <v>100</v>
      </c>
      <c r="C83" t="s">
        <v>275</v>
      </c>
      <c r="D83" t="s">
        <v>246</v>
      </c>
      <c r="E83" t="s">
        <v>332</v>
      </c>
    </row>
    <row r="84" spans="1:6">
      <c r="A84" t="s">
        <v>575</v>
      </c>
      <c r="B84" t="s">
        <v>101</v>
      </c>
      <c r="C84" t="s">
        <v>275</v>
      </c>
      <c r="D84" t="s">
        <v>246</v>
      </c>
      <c r="E84" t="s">
        <v>333</v>
      </c>
    </row>
    <row r="85" spans="1:6">
      <c r="A85" t="s">
        <v>379</v>
      </c>
      <c r="B85" t="s">
        <v>102</v>
      </c>
      <c r="C85" t="s">
        <v>275</v>
      </c>
      <c r="D85" t="s">
        <v>246</v>
      </c>
      <c r="E85" t="s">
        <v>334</v>
      </c>
    </row>
    <row r="86" spans="1:6">
      <c r="A86" t="s">
        <v>380</v>
      </c>
      <c r="B86" t="s">
        <v>103</v>
      </c>
      <c r="C86" t="s">
        <v>375</v>
      </c>
      <c r="D86" t="s">
        <v>246</v>
      </c>
      <c r="E86" t="s">
        <v>335</v>
      </c>
    </row>
    <row r="87" spans="1:6">
      <c r="A87" t="s">
        <v>382</v>
      </c>
      <c r="B87" s="31" t="s">
        <v>381</v>
      </c>
      <c r="C87" t="s">
        <v>372</v>
      </c>
      <c r="D87" t="s">
        <v>246</v>
      </c>
    </row>
    <row r="88" spans="1:6">
      <c r="A88" t="s">
        <v>384</v>
      </c>
      <c r="B88" t="s">
        <v>108</v>
      </c>
      <c r="C88" t="s">
        <v>242</v>
      </c>
      <c r="D88" s="82" t="s">
        <v>240</v>
      </c>
      <c r="E88" t="s">
        <v>336</v>
      </c>
    </row>
    <row r="89" spans="1:6">
      <c r="A89" t="s">
        <v>29</v>
      </c>
      <c r="B89" t="s">
        <v>525</v>
      </c>
      <c r="C89" t="s">
        <v>385</v>
      </c>
      <c r="D89" s="82" t="s">
        <v>240</v>
      </c>
      <c r="E89" t="s">
        <v>337</v>
      </c>
      <c r="F89" t="s">
        <v>311</v>
      </c>
    </row>
    <row r="90" spans="1:6">
      <c r="A90" t="s">
        <v>386</v>
      </c>
      <c r="B90" t="s">
        <v>677</v>
      </c>
      <c r="C90" t="s">
        <v>275</v>
      </c>
      <c r="D90" t="s">
        <v>246</v>
      </c>
      <c r="E90" t="s">
        <v>338</v>
      </c>
    </row>
    <row r="91" spans="1:6">
      <c r="A91" t="s">
        <v>387</v>
      </c>
      <c r="B91" t="s">
        <v>109</v>
      </c>
      <c r="C91" t="s">
        <v>375</v>
      </c>
      <c r="D91" t="s">
        <v>246</v>
      </c>
      <c r="E91" t="s">
        <v>109</v>
      </c>
      <c r="F91" t="s">
        <v>339</v>
      </c>
    </row>
    <row r="92" spans="1:6">
      <c r="A92" t="s">
        <v>388</v>
      </c>
      <c r="B92" t="s">
        <v>110</v>
      </c>
      <c r="C92" t="s">
        <v>242</v>
      </c>
      <c r="D92" t="s">
        <v>240</v>
      </c>
      <c r="E92" t="s">
        <v>340</v>
      </c>
    </row>
    <row r="93" spans="1:6">
      <c r="A93" t="s">
        <v>389</v>
      </c>
      <c r="B93" t="s">
        <v>111</v>
      </c>
      <c r="C93" t="s">
        <v>390</v>
      </c>
      <c r="D93" t="s">
        <v>240</v>
      </c>
      <c r="E93" t="s">
        <v>341</v>
      </c>
    </row>
    <row r="94" spans="1:6">
      <c r="A94" t="s">
        <v>391</v>
      </c>
      <c r="B94" t="s">
        <v>112</v>
      </c>
      <c r="C94" t="s">
        <v>242</v>
      </c>
      <c r="D94" t="s">
        <v>240</v>
      </c>
      <c r="E94" t="s">
        <v>112</v>
      </c>
      <c r="F94" t="s">
        <v>342</v>
      </c>
    </row>
    <row r="95" spans="1:6">
      <c r="A95" t="s">
        <v>392</v>
      </c>
      <c r="B95" t="s">
        <v>113</v>
      </c>
      <c r="C95" t="s">
        <v>242</v>
      </c>
      <c r="D95" t="s">
        <v>240</v>
      </c>
      <c r="E95" t="s">
        <v>343</v>
      </c>
    </row>
    <row r="96" spans="1:6">
      <c r="A96" t="s">
        <v>393</v>
      </c>
      <c r="B96" t="s">
        <v>114</v>
      </c>
      <c r="C96" t="s">
        <v>242</v>
      </c>
      <c r="D96" t="s">
        <v>240</v>
      </c>
      <c r="E96" t="s">
        <v>114</v>
      </c>
      <c r="F96" t="s">
        <v>339</v>
      </c>
    </row>
    <row r="97" spans="1:6">
      <c r="A97" t="s">
        <v>394</v>
      </c>
      <c r="B97" t="s">
        <v>678</v>
      </c>
      <c r="C97" t="s">
        <v>275</v>
      </c>
      <c r="D97" t="s">
        <v>246</v>
      </c>
      <c r="E97" t="s">
        <v>115</v>
      </c>
      <c r="F97" t="s">
        <v>339</v>
      </c>
    </row>
    <row r="98" spans="1:6">
      <c r="A98" t="s">
        <v>395</v>
      </c>
      <c r="B98" t="s">
        <v>560</v>
      </c>
      <c r="C98" t="s">
        <v>242</v>
      </c>
      <c r="D98" t="s">
        <v>240</v>
      </c>
      <c r="E98" t="s">
        <v>343</v>
      </c>
    </row>
    <row r="99" spans="1:6">
      <c r="A99" t="s">
        <v>396</v>
      </c>
      <c r="B99" t="s">
        <v>116</v>
      </c>
      <c r="C99" t="s">
        <v>242</v>
      </c>
      <c r="D99" t="s">
        <v>240</v>
      </c>
      <c r="E99" t="s">
        <v>116</v>
      </c>
      <c r="F99" t="s">
        <v>339</v>
      </c>
    </row>
    <row r="100" spans="1:6">
      <c r="A100" t="s">
        <v>397</v>
      </c>
      <c r="B100" t="s">
        <v>518</v>
      </c>
      <c r="C100" t="s">
        <v>242</v>
      </c>
      <c r="D100" t="s">
        <v>240</v>
      </c>
      <c r="E100" t="s">
        <v>114</v>
      </c>
      <c r="F100" t="s">
        <v>339</v>
      </c>
    </row>
    <row r="101" spans="1:6">
      <c r="A101" t="s">
        <v>398</v>
      </c>
      <c r="B101" t="s">
        <v>695</v>
      </c>
      <c r="C101" t="s">
        <v>275</v>
      </c>
      <c r="D101" t="s">
        <v>246</v>
      </c>
      <c r="E101" t="s">
        <v>115</v>
      </c>
      <c r="F101" t="s">
        <v>339</v>
      </c>
    </row>
    <row r="102" spans="1:6">
      <c r="A102" t="s">
        <v>399</v>
      </c>
      <c r="B102" t="s">
        <v>561</v>
      </c>
      <c r="C102" t="s">
        <v>242</v>
      </c>
      <c r="D102" t="s">
        <v>240</v>
      </c>
      <c r="E102" t="s">
        <v>343</v>
      </c>
    </row>
    <row r="103" spans="1:6">
      <c r="A103" t="s">
        <v>400</v>
      </c>
      <c r="B103" t="s">
        <v>519</v>
      </c>
      <c r="C103" t="s">
        <v>242</v>
      </c>
      <c r="D103" t="s">
        <v>240</v>
      </c>
      <c r="E103" t="s">
        <v>344</v>
      </c>
    </row>
    <row r="104" spans="1:6">
      <c r="A104" t="s">
        <v>411</v>
      </c>
      <c r="B104" s="31" t="s">
        <v>412</v>
      </c>
      <c r="C104" t="s">
        <v>372</v>
      </c>
      <c r="D104" t="s">
        <v>246</v>
      </c>
    </row>
    <row r="105" spans="1:6" ht="18.75">
      <c r="A105" s="81" t="s">
        <v>345</v>
      </c>
      <c r="B105" s="81"/>
      <c r="C105" s="81"/>
      <c r="D105" s="81"/>
      <c r="E105" s="81"/>
    </row>
    <row r="106" spans="1:6">
      <c r="A106" t="s">
        <v>441</v>
      </c>
      <c r="B106" t="s">
        <v>153</v>
      </c>
      <c r="C106" t="s">
        <v>275</v>
      </c>
      <c r="D106" t="s">
        <v>246</v>
      </c>
    </row>
    <row r="107" spans="1:6">
      <c r="A107" t="s">
        <v>442</v>
      </c>
      <c r="B107" t="s">
        <v>154</v>
      </c>
      <c r="C107" t="s">
        <v>275</v>
      </c>
      <c r="D107" t="s">
        <v>246</v>
      </c>
    </row>
    <row r="108" spans="1:6">
      <c r="A108" t="s">
        <v>443</v>
      </c>
      <c r="B108" t="s">
        <v>155</v>
      </c>
      <c r="C108" t="s">
        <v>275</v>
      </c>
      <c r="D108" t="s">
        <v>246</v>
      </c>
    </row>
    <row r="109" spans="1:6">
      <c r="A109" t="s">
        <v>444</v>
      </c>
      <c r="B109" t="s">
        <v>156</v>
      </c>
      <c r="C109" t="s">
        <v>275</v>
      </c>
      <c r="D109" t="s">
        <v>246</v>
      </c>
    </row>
    <row r="110" spans="1:6">
      <c r="A110" t="s">
        <v>445</v>
      </c>
      <c r="B110" t="s">
        <v>157</v>
      </c>
      <c r="C110" t="s">
        <v>275</v>
      </c>
      <c r="D110" t="s">
        <v>246</v>
      </c>
    </row>
    <row r="111" spans="1:6">
      <c r="A111" s="31" t="s">
        <v>446</v>
      </c>
      <c r="B111" s="31" t="s">
        <v>158</v>
      </c>
      <c r="C111" t="s">
        <v>275</v>
      </c>
      <c r="D111" t="s">
        <v>246</v>
      </c>
    </row>
    <row r="112" spans="1:6">
      <c r="A112" s="31" t="s">
        <v>566</v>
      </c>
      <c r="B112" s="104" t="s">
        <v>528</v>
      </c>
      <c r="C112" t="s">
        <v>275</v>
      </c>
      <c r="D112" t="s">
        <v>246</v>
      </c>
    </row>
    <row r="113" spans="1:4">
      <c r="A113" t="s">
        <v>447</v>
      </c>
      <c r="B113" t="s">
        <v>160</v>
      </c>
      <c r="C113" t="s">
        <v>275</v>
      </c>
      <c r="D113" t="s">
        <v>246</v>
      </c>
    </row>
    <row r="114" spans="1:4">
      <c r="A114" t="s">
        <v>448</v>
      </c>
      <c r="B114" t="s">
        <v>161</v>
      </c>
      <c r="C114" t="s">
        <v>275</v>
      </c>
      <c r="D114" t="s">
        <v>246</v>
      </c>
    </row>
    <row r="115" spans="1:4">
      <c r="A115" t="s">
        <v>449</v>
      </c>
      <c r="B115" t="s">
        <v>162</v>
      </c>
      <c r="C115" t="s">
        <v>275</v>
      </c>
      <c r="D115" t="s">
        <v>246</v>
      </c>
    </row>
    <row r="116" spans="1:4">
      <c r="A116" t="s">
        <v>450</v>
      </c>
      <c r="B116" t="s">
        <v>163</v>
      </c>
      <c r="C116" t="s">
        <v>275</v>
      </c>
      <c r="D116" t="s">
        <v>246</v>
      </c>
    </row>
    <row r="117" spans="1:4">
      <c r="A117" t="s">
        <v>451</v>
      </c>
      <c r="B117" t="s">
        <v>164</v>
      </c>
      <c r="C117" t="s">
        <v>275</v>
      </c>
      <c r="D117" t="s">
        <v>246</v>
      </c>
    </row>
    <row r="118" spans="1:4">
      <c r="A118" t="s">
        <v>452</v>
      </c>
      <c r="B118" t="s">
        <v>165</v>
      </c>
      <c r="C118" t="s">
        <v>275</v>
      </c>
      <c r="D118" t="s">
        <v>246</v>
      </c>
    </row>
    <row r="119" spans="1:4">
      <c r="A119" t="s">
        <v>453</v>
      </c>
      <c r="B119" t="s">
        <v>166</v>
      </c>
      <c r="C119" t="s">
        <v>275</v>
      </c>
      <c r="D119" t="s">
        <v>246</v>
      </c>
    </row>
    <row r="120" spans="1:4">
      <c r="A120" s="31" t="s">
        <v>454</v>
      </c>
      <c r="B120" s="31" t="s">
        <v>520</v>
      </c>
      <c r="C120" t="s">
        <v>275</v>
      </c>
      <c r="D120" t="s">
        <v>246</v>
      </c>
    </row>
    <row r="121" spans="1:4">
      <c r="A121" s="31" t="s">
        <v>567</v>
      </c>
      <c r="B121" s="104" t="s">
        <v>529</v>
      </c>
      <c r="C121" t="s">
        <v>275</v>
      </c>
      <c r="D121" t="s">
        <v>246</v>
      </c>
    </row>
    <row r="122" spans="1:4">
      <c r="A122" t="s">
        <v>455</v>
      </c>
      <c r="B122" t="s">
        <v>168</v>
      </c>
      <c r="C122" t="s">
        <v>275</v>
      </c>
      <c r="D122" t="s">
        <v>246</v>
      </c>
    </row>
    <row r="123" spans="1:4">
      <c r="A123" t="s">
        <v>456</v>
      </c>
      <c r="B123" t="s">
        <v>169</v>
      </c>
      <c r="C123" t="s">
        <v>275</v>
      </c>
      <c r="D123" t="s">
        <v>246</v>
      </c>
    </row>
    <row r="124" spans="1:4">
      <c r="A124" t="s">
        <v>457</v>
      </c>
      <c r="B124" t="s">
        <v>170</v>
      </c>
      <c r="C124" t="s">
        <v>275</v>
      </c>
      <c r="D124" t="s">
        <v>246</v>
      </c>
    </row>
    <row r="125" spans="1:4">
      <c r="A125" t="s">
        <v>458</v>
      </c>
      <c r="B125" t="s">
        <v>171</v>
      </c>
      <c r="C125" t="s">
        <v>275</v>
      </c>
      <c r="D125" t="s">
        <v>246</v>
      </c>
    </row>
    <row r="126" spans="1:4">
      <c r="A126" t="s">
        <v>459</v>
      </c>
      <c r="B126" t="s">
        <v>522</v>
      </c>
      <c r="C126" t="s">
        <v>275</v>
      </c>
      <c r="D126" t="s">
        <v>246</v>
      </c>
    </row>
    <row r="127" spans="1:4">
      <c r="A127" t="s">
        <v>460</v>
      </c>
      <c r="B127" t="s">
        <v>172</v>
      </c>
      <c r="C127" t="s">
        <v>275</v>
      </c>
      <c r="D127" t="s">
        <v>246</v>
      </c>
    </row>
    <row r="128" spans="1:4">
      <c r="A128" s="31" t="s">
        <v>461</v>
      </c>
      <c r="B128" s="31" t="s">
        <v>521</v>
      </c>
      <c r="C128" t="s">
        <v>275</v>
      </c>
      <c r="D128" t="s">
        <v>246</v>
      </c>
    </row>
    <row r="129" spans="1:4">
      <c r="A129" s="31" t="s">
        <v>568</v>
      </c>
      <c r="B129" s="104" t="s">
        <v>530</v>
      </c>
      <c r="C129" t="s">
        <v>275</v>
      </c>
      <c r="D129" t="s">
        <v>246</v>
      </c>
    </row>
    <row r="130" spans="1:4" ht="75">
      <c r="A130" s="103" t="s">
        <v>534</v>
      </c>
      <c r="B130" s="105" t="s">
        <v>536</v>
      </c>
      <c r="C130" t="s">
        <v>275</v>
      </c>
      <c r="D130" t="s">
        <v>246</v>
      </c>
    </row>
    <row r="131" spans="1:4">
      <c r="A131" t="s">
        <v>462</v>
      </c>
      <c r="B131" t="s">
        <v>174</v>
      </c>
      <c r="C131" t="s">
        <v>275</v>
      </c>
      <c r="D131" t="s">
        <v>246</v>
      </c>
    </row>
    <row r="132" spans="1:4">
      <c r="A132" t="s">
        <v>463</v>
      </c>
      <c r="B132" t="s">
        <v>175</v>
      </c>
      <c r="C132" t="s">
        <v>275</v>
      </c>
      <c r="D132" t="s">
        <v>246</v>
      </c>
    </row>
    <row r="133" spans="1:4">
      <c r="A133" t="s">
        <v>464</v>
      </c>
      <c r="B133" t="s">
        <v>176</v>
      </c>
      <c r="C133" t="s">
        <v>275</v>
      </c>
      <c r="D133" t="s">
        <v>246</v>
      </c>
    </row>
    <row r="134" spans="1:4">
      <c r="A134" t="s">
        <v>465</v>
      </c>
      <c r="B134" t="s">
        <v>177</v>
      </c>
      <c r="C134" t="s">
        <v>275</v>
      </c>
      <c r="D134" t="s">
        <v>246</v>
      </c>
    </row>
    <row r="135" spans="1:4">
      <c r="A135" t="s">
        <v>466</v>
      </c>
      <c r="B135" t="s">
        <v>179</v>
      </c>
      <c r="C135" t="s">
        <v>275</v>
      </c>
      <c r="D135" t="s">
        <v>246</v>
      </c>
    </row>
    <row r="136" spans="1:4">
      <c r="A136" t="s">
        <v>467</v>
      </c>
      <c r="B136" t="s">
        <v>180</v>
      </c>
      <c r="C136" t="s">
        <v>275</v>
      </c>
      <c r="D136" t="s">
        <v>246</v>
      </c>
    </row>
    <row r="137" spans="1:4">
      <c r="A137" t="s">
        <v>468</v>
      </c>
      <c r="B137" t="s">
        <v>181</v>
      </c>
      <c r="C137" t="s">
        <v>275</v>
      </c>
      <c r="D137" t="s">
        <v>246</v>
      </c>
    </row>
    <row r="138" spans="1:4">
      <c r="A138" t="s">
        <v>469</v>
      </c>
      <c r="B138" t="s">
        <v>182</v>
      </c>
      <c r="C138" t="s">
        <v>275</v>
      </c>
      <c r="D138" t="s">
        <v>246</v>
      </c>
    </row>
    <row r="139" spans="1:4">
      <c r="A139" t="s">
        <v>470</v>
      </c>
      <c r="B139" t="s">
        <v>183</v>
      </c>
      <c r="C139" t="s">
        <v>275</v>
      </c>
      <c r="D139" t="s">
        <v>246</v>
      </c>
    </row>
    <row r="140" spans="1:4">
      <c r="A140" t="s">
        <v>471</v>
      </c>
      <c r="B140" t="s">
        <v>184</v>
      </c>
      <c r="C140" t="s">
        <v>275</v>
      </c>
      <c r="D140" t="s">
        <v>246</v>
      </c>
    </row>
    <row r="141" spans="1:4">
      <c r="A141" t="s">
        <v>472</v>
      </c>
      <c r="B141" t="s">
        <v>185</v>
      </c>
      <c r="C141" t="s">
        <v>275</v>
      </c>
      <c r="D141" t="s">
        <v>246</v>
      </c>
    </row>
    <row r="142" spans="1:4">
      <c r="A142" t="s">
        <v>473</v>
      </c>
      <c r="B142" t="s">
        <v>186</v>
      </c>
      <c r="C142" t="s">
        <v>275</v>
      </c>
      <c r="D142" t="s">
        <v>246</v>
      </c>
    </row>
    <row r="143" spans="1:4">
      <c r="A143" t="s">
        <v>474</v>
      </c>
      <c r="B143" t="s">
        <v>187</v>
      </c>
      <c r="C143" t="s">
        <v>275</v>
      </c>
      <c r="D143" t="s">
        <v>246</v>
      </c>
    </row>
    <row r="144" spans="1:4">
      <c r="A144" t="s">
        <v>475</v>
      </c>
      <c r="B144" t="s">
        <v>188</v>
      </c>
      <c r="C144" t="s">
        <v>275</v>
      </c>
      <c r="D144" t="s">
        <v>246</v>
      </c>
    </row>
    <row r="145" spans="1:4">
      <c r="A145" t="s">
        <v>476</v>
      </c>
      <c r="B145" t="s">
        <v>189</v>
      </c>
      <c r="C145" t="s">
        <v>275</v>
      </c>
      <c r="D145" t="s">
        <v>246</v>
      </c>
    </row>
    <row r="146" spans="1:4">
      <c r="A146" t="s">
        <v>477</v>
      </c>
      <c r="B146" t="s">
        <v>190</v>
      </c>
      <c r="C146" t="s">
        <v>275</v>
      </c>
      <c r="D146" t="s">
        <v>246</v>
      </c>
    </row>
    <row r="147" spans="1:4">
      <c r="A147" t="s">
        <v>478</v>
      </c>
      <c r="B147" t="s">
        <v>191</v>
      </c>
      <c r="C147" t="s">
        <v>275</v>
      </c>
      <c r="D147" t="s">
        <v>246</v>
      </c>
    </row>
    <row r="148" spans="1:4">
      <c r="A148" t="s">
        <v>569</v>
      </c>
      <c r="B148" s="104" t="s">
        <v>531</v>
      </c>
      <c r="C148" t="s">
        <v>275</v>
      </c>
      <c r="D148" t="s">
        <v>246</v>
      </c>
    </row>
    <row r="149" spans="1:4">
      <c r="A149" t="s">
        <v>479</v>
      </c>
      <c r="B149" t="s">
        <v>193</v>
      </c>
      <c r="C149" t="s">
        <v>275</v>
      </c>
      <c r="D149" t="s">
        <v>246</v>
      </c>
    </row>
    <row r="150" spans="1:4">
      <c r="A150" t="s">
        <v>480</v>
      </c>
      <c r="B150" t="s">
        <v>195</v>
      </c>
      <c r="C150" t="s">
        <v>275</v>
      </c>
      <c r="D150" t="s">
        <v>246</v>
      </c>
    </row>
    <row r="151" spans="1:4">
      <c r="A151" t="s">
        <v>481</v>
      </c>
      <c r="B151" t="s">
        <v>196</v>
      </c>
      <c r="C151" t="s">
        <v>275</v>
      </c>
      <c r="D151" t="s">
        <v>246</v>
      </c>
    </row>
    <row r="152" spans="1:4">
      <c r="A152" t="s">
        <v>482</v>
      </c>
      <c r="B152" t="s">
        <v>197</v>
      </c>
      <c r="C152" t="s">
        <v>275</v>
      </c>
      <c r="D152" t="s">
        <v>246</v>
      </c>
    </row>
    <row r="153" spans="1:4">
      <c r="A153" t="s">
        <v>483</v>
      </c>
      <c r="B153" t="s">
        <v>198</v>
      </c>
      <c r="C153" t="s">
        <v>275</v>
      </c>
      <c r="D153" t="s">
        <v>246</v>
      </c>
    </row>
    <row r="154" spans="1:4">
      <c r="A154" t="s">
        <v>484</v>
      </c>
      <c r="B154" t="s">
        <v>199</v>
      </c>
      <c r="C154" t="s">
        <v>275</v>
      </c>
      <c r="D154" t="s">
        <v>246</v>
      </c>
    </row>
    <row r="155" spans="1:4">
      <c r="A155" t="s">
        <v>485</v>
      </c>
      <c r="B155" t="s">
        <v>200</v>
      </c>
      <c r="C155" t="s">
        <v>275</v>
      </c>
      <c r="D155" t="s">
        <v>246</v>
      </c>
    </row>
    <row r="156" spans="1:4">
      <c r="A156" t="s">
        <v>486</v>
      </c>
      <c r="B156" t="s">
        <v>201</v>
      </c>
      <c r="C156" t="s">
        <v>275</v>
      </c>
      <c r="D156" t="s">
        <v>246</v>
      </c>
    </row>
    <row r="157" spans="1:4">
      <c r="A157" t="s">
        <v>570</v>
      </c>
      <c r="B157" s="104" t="s">
        <v>533</v>
      </c>
      <c r="C157" t="s">
        <v>275</v>
      </c>
      <c r="D157" t="s">
        <v>246</v>
      </c>
    </row>
    <row r="158" spans="1:4">
      <c r="A158" t="s">
        <v>571</v>
      </c>
      <c r="B158" s="104" t="s">
        <v>532</v>
      </c>
      <c r="C158" t="s">
        <v>275</v>
      </c>
      <c r="D158" t="s">
        <v>246</v>
      </c>
    </row>
    <row r="159" spans="1:4">
      <c r="A159" t="s">
        <v>487</v>
      </c>
      <c r="B159" t="s">
        <v>202</v>
      </c>
      <c r="C159" t="s">
        <v>275</v>
      </c>
      <c r="D159" t="s">
        <v>246</v>
      </c>
    </row>
    <row r="160" spans="1:4">
      <c r="A160" t="s">
        <v>488</v>
      </c>
      <c r="B160" t="s">
        <v>203</v>
      </c>
      <c r="C160" t="s">
        <v>275</v>
      </c>
      <c r="D160" t="s">
        <v>246</v>
      </c>
    </row>
    <row r="161" spans="1:5">
      <c r="A161" t="s">
        <v>489</v>
      </c>
      <c r="B161" t="s">
        <v>204</v>
      </c>
      <c r="C161" t="s">
        <v>275</v>
      </c>
      <c r="D161" t="s">
        <v>246</v>
      </c>
    </row>
    <row r="162" spans="1:5">
      <c r="A162" t="s">
        <v>490</v>
      </c>
      <c r="B162" t="s">
        <v>205</v>
      </c>
      <c r="C162" t="s">
        <v>275</v>
      </c>
      <c r="D162" t="s">
        <v>246</v>
      </c>
    </row>
    <row r="163" spans="1:5">
      <c r="A163" t="s">
        <v>491</v>
      </c>
      <c r="B163" t="s">
        <v>206</v>
      </c>
      <c r="C163" t="s">
        <v>275</v>
      </c>
      <c r="D163" t="s">
        <v>246</v>
      </c>
    </row>
    <row r="164" spans="1:5">
      <c r="A164" t="s">
        <v>492</v>
      </c>
      <c r="B164" t="s">
        <v>207</v>
      </c>
      <c r="C164" t="s">
        <v>275</v>
      </c>
      <c r="D164" t="s">
        <v>246</v>
      </c>
    </row>
    <row r="165" spans="1:5">
      <c r="A165" t="s">
        <v>493</v>
      </c>
      <c r="B165" t="s">
        <v>208</v>
      </c>
      <c r="C165" t="s">
        <v>275</v>
      </c>
      <c r="D165" t="s">
        <v>246</v>
      </c>
    </row>
    <row r="166" spans="1:5">
      <c r="A166" t="s">
        <v>494</v>
      </c>
      <c r="B166" t="s">
        <v>209</v>
      </c>
      <c r="C166" t="s">
        <v>275</v>
      </c>
      <c r="D166" t="s">
        <v>246</v>
      </c>
    </row>
    <row r="167" spans="1:5">
      <c r="A167" t="s">
        <v>495</v>
      </c>
      <c r="B167" t="s">
        <v>210</v>
      </c>
      <c r="C167" t="s">
        <v>275</v>
      </c>
      <c r="D167" t="s">
        <v>246</v>
      </c>
    </row>
    <row r="168" spans="1:5" ht="18.75">
      <c r="A168" s="81" t="s">
        <v>346</v>
      </c>
      <c r="B168" s="81"/>
      <c r="C168" s="81"/>
      <c r="D168" s="81"/>
      <c r="E168" s="81"/>
    </row>
    <row r="169" spans="1:5">
      <c r="A169" t="s">
        <v>496</v>
      </c>
      <c r="B169" t="s">
        <v>214</v>
      </c>
      <c r="C169" t="s">
        <v>242</v>
      </c>
      <c r="D169" t="s">
        <v>240</v>
      </c>
    </row>
    <row r="170" spans="1:5">
      <c r="A170" t="s">
        <v>215</v>
      </c>
      <c r="B170" t="s">
        <v>215</v>
      </c>
      <c r="C170" t="s">
        <v>242</v>
      </c>
      <c r="D170" t="s">
        <v>246</v>
      </c>
    </row>
    <row r="171" spans="1:5">
      <c r="A171" t="s">
        <v>498</v>
      </c>
      <c r="B171" t="s">
        <v>347</v>
      </c>
      <c r="C171" t="s">
        <v>275</v>
      </c>
      <c r="D171" t="s">
        <v>246</v>
      </c>
    </row>
    <row r="172" spans="1:5">
      <c r="A172" t="s">
        <v>497</v>
      </c>
      <c r="B172" t="s">
        <v>348</v>
      </c>
      <c r="C172" t="s">
        <v>275</v>
      </c>
      <c r="D172" t="s">
        <v>246</v>
      </c>
    </row>
    <row r="173" spans="1:5">
      <c r="A173" t="s">
        <v>217</v>
      </c>
      <c r="B173" t="s">
        <v>576</v>
      </c>
      <c r="C173" t="s">
        <v>275</v>
      </c>
      <c r="D173" t="s">
        <v>246</v>
      </c>
    </row>
    <row r="174" spans="1:5">
      <c r="A174" t="s">
        <v>499</v>
      </c>
      <c r="B174" t="s">
        <v>220</v>
      </c>
      <c r="C174" t="s">
        <v>275</v>
      </c>
      <c r="D174" t="s">
        <v>246</v>
      </c>
    </row>
    <row r="175" spans="1:5">
      <c r="A175" t="s">
        <v>500</v>
      </c>
      <c r="B175" t="s">
        <v>221</v>
      </c>
      <c r="C175" t="s">
        <v>275</v>
      </c>
      <c r="D175" t="s">
        <v>246</v>
      </c>
    </row>
    <row r="176" spans="1:5">
      <c r="A176" t="s">
        <v>501</v>
      </c>
      <c r="B176" t="s">
        <v>222</v>
      </c>
      <c r="C176" t="s">
        <v>275</v>
      </c>
      <c r="D176" t="s">
        <v>246</v>
      </c>
    </row>
    <row r="177" spans="1:5">
      <c r="A177" t="s">
        <v>572</v>
      </c>
      <c r="B177" t="s">
        <v>513</v>
      </c>
      <c r="C177" t="s">
        <v>275</v>
      </c>
      <c r="D177" t="s">
        <v>246</v>
      </c>
    </row>
    <row r="178" spans="1:5">
      <c r="A178" t="s">
        <v>502</v>
      </c>
      <c r="B178" t="s">
        <v>225</v>
      </c>
      <c r="C178" t="s">
        <v>275</v>
      </c>
      <c r="D178" t="s">
        <v>246</v>
      </c>
    </row>
    <row r="179" spans="1:5">
      <c r="A179" t="s">
        <v>503</v>
      </c>
      <c r="B179" t="s">
        <v>226</v>
      </c>
      <c r="C179" t="s">
        <v>275</v>
      </c>
      <c r="D179" t="s">
        <v>246</v>
      </c>
    </row>
    <row r="180" spans="1:5">
      <c r="A180" t="s">
        <v>504</v>
      </c>
      <c r="B180" t="s">
        <v>227</v>
      </c>
      <c r="C180" t="s">
        <v>275</v>
      </c>
      <c r="D180" t="s">
        <v>246</v>
      </c>
    </row>
    <row r="181" spans="1:5">
      <c r="A181" t="s">
        <v>505</v>
      </c>
      <c r="B181" t="s">
        <v>228</v>
      </c>
      <c r="C181" t="s">
        <v>275</v>
      </c>
      <c r="D181" t="s">
        <v>246</v>
      </c>
    </row>
    <row r="182" spans="1:5">
      <c r="A182" t="s">
        <v>506</v>
      </c>
      <c r="B182" t="s">
        <v>229</v>
      </c>
      <c r="C182" t="s">
        <v>275</v>
      </c>
      <c r="D182" t="s">
        <v>246</v>
      </c>
    </row>
    <row r="183" spans="1:5">
      <c r="A183" t="s">
        <v>507</v>
      </c>
      <c r="B183" t="s">
        <v>230</v>
      </c>
      <c r="C183" t="s">
        <v>275</v>
      </c>
      <c r="D183" t="s">
        <v>246</v>
      </c>
    </row>
    <row r="184" spans="1:5">
      <c r="A184" t="s">
        <v>508</v>
      </c>
      <c r="B184" t="s">
        <v>693</v>
      </c>
      <c r="C184" t="s">
        <v>275</v>
      </c>
      <c r="D184" t="s">
        <v>246</v>
      </c>
    </row>
    <row r="185" spans="1:5" ht="15.75" thickBot="1">
      <c r="A185" t="s">
        <v>573</v>
      </c>
      <c r="B185" s="78" t="s">
        <v>231</v>
      </c>
      <c r="C185" t="s">
        <v>275</v>
      </c>
      <c r="D185" t="s">
        <v>246</v>
      </c>
    </row>
    <row r="186" spans="1:5" ht="15.75" thickTop="1">
      <c r="A186" t="s">
        <v>574</v>
      </c>
      <c r="B186" s="79" t="s">
        <v>232</v>
      </c>
      <c r="C186" t="s">
        <v>275</v>
      </c>
      <c r="D186" t="s">
        <v>246</v>
      </c>
    </row>
    <row r="187" spans="1:5">
      <c r="A187" t="s">
        <v>510</v>
      </c>
      <c r="B187" s="86" t="s">
        <v>218</v>
      </c>
      <c r="C187" t="s">
        <v>242</v>
      </c>
      <c r="D187" t="s">
        <v>240</v>
      </c>
    </row>
    <row r="188" spans="1:5">
      <c r="A188" t="s">
        <v>511</v>
      </c>
      <c r="B188" s="84" t="s">
        <v>219</v>
      </c>
      <c r="C188" t="s">
        <v>375</v>
      </c>
      <c r="D188" t="s">
        <v>246</v>
      </c>
    </row>
    <row r="189" spans="1:5">
      <c r="A189" t="s">
        <v>512</v>
      </c>
      <c r="B189" s="85" t="s">
        <v>509</v>
      </c>
      <c r="C189" t="s">
        <v>275</v>
      </c>
      <c r="D189" t="s">
        <v>246</v>
      </c>
    </row>
    <row r="190" spans="1:5" ht="18.75">
      <c r="A190" s="81" t="s">
        <v>537</v>
      </c>
      <c r="B190" s="81"/>
      <c r="C190" s="81"/>
      <c r="D190" s="81"/>
      <c r="E190" s="81"/>
    </row>
    <row r="191" spans="1:5">
      <c r="A191" t="s">
        <v>559</v>
      </c>
      <c r="B191" s="334" t="s">
        <v>538</v>
      </c>
      <c r="C191" s="335"/>
      <c r="D191" t="s">
        <v>240</v>
      </c>
    </row>
    <row r="192" spans="1:5">
      <c r="A192" t="s">
        <v>514</v>
      </c>
      <c r="B192" t="s">
        <v>539</v>
      </c>
      <c r="C192" t="s">
        <v>242</v>
      </c>
      <c r="D192" t="s">
        <v>240</v>
      </c>
    </row>
    <row r="193" spans="1:4">
      <c r="A193" t="s">
        <v>498</v>
      </c>
      <c r="B193" t="s">
        <v>540</v>
      </c>
      <c r="C193" t="s">
        <v>275</v>
      </c>
      <c r="D193" t="s">
        <v>246</v>
      </c>
    </row>
    <row r="194" spans="1:4">
      <c r="A194" t="s">
        <v>497</v>
      </c>
      <c r="B194" t="s">
        <v>542</v>
      </c>
      <c r="C194" t="s">
        <v>275</v>
      </c>
      <c r="D194" t="s">
        <v>246</v>
      </c>
    </row>
    <row r="195" spans="1:4">
      <c r="A195" t="s">
        <v>217</v>
      </c>
      <c r="B195" t="s">
        <v>577</v>
      </c>
      <c r="C195" t="s">
        <v>275</v>
      </c>
      <c r="D195" t="s">
        <v>246</v>
      </c>
    </row>
    <row r="196" spans="1:4">
      <c r="A196" t="s">
        <v>499</v>
      </c>
      <c r="B196" t="s">
        <v>543</v>
      </c>
      <c r="C196" t="s">
        <v>275</v>
      </c>
      <c r="D196" t="s">
        <v>246</v>
      </c>
    </row>
    <row r="197" spans="1:4">
      <c r="A197" t="s">
        <v>500</v>
      </c>
      <c r="B197" t="s">
        <v>544</v>
      </c>
      <c r="C197" t="s">
        <v>275</v>
      </c>
      <c r="D197" t="s">
        <v>246</v>
      </c>
    </row>
    <row r="198" spans="1:4">
      <c r="A198" t="s">
        <v>501</v>
      </c>
      <c r="B198" t="s">
        <v>545</v>
      </c>
      <c r="C198" t="s">
        <v>275</v>
      </c>
      <c r="D198" t="s">
        <v>246</v>
      </c>
    </row>
    <row r="199" spans="1:4">
      <c r="A199" t="s">
        <v>572</v>
      </c>
      <c r="B199" t="s">
        <v>547</v>
      </c>
      <c r="C199" t="s">
        <v>275</v>
      </c>
      <c r="D199" t="s">
        <v>246</v>
      </c>
    </row>
    <row r="200" spans="1:4">
      <c r="A200" t="s">
        <v>502</v>
      </c>
      <c r="B200" t="s">
        <v>548</v>
      </c>
      <c r="C200" t="s">
        <v>275</v>
      </c>
      <c r="D200" t="s">
        <v>246</v>
      </c>
    </row>
    <row r="201" spans="1:4">
      <c r="A201" t="s">
        <v>503</v>
      </c>
      <c r="B201" t="s">
        <v>549</v>
      </c>
      <c r="C201" t="s">
        <v>275</v>
      </c>
      <c r="D201" t="s">
        <v>246</v>
      </c>
    </row>
    <row r="202" spans="1:4">
      <c r="A202" t="s">
        <v>504</v>
      </c>
      <c r="B202" t="s">
        <v>550</v>
      </c>
      <c r="C202" t="s">
        <v>275</v>
      </c>
      <c r="D202" t="s">
        <v>246</v>
      </c>
    </row>
    <row r="203" spans="1:4">
      <c r="A203" t="s">
        <v>505</v>
      </c>
      <c r="B203" t="s">
        <v>551</v>
      </c>
      <c r="C203" t="s">
        <v>275</v>
      </c>
      <c r="D203" t="s">
        <v>246</v>
      </c>
    </row>
    <row r="204" spans="1:4">
      <c r="A204" t="s">
        <v>506</v>
      </c>
      <c r="B204" t="s">
        <v>552</v>
      </c>
      <c r="C204" t="s">
        <v>275</v>
      </c>
      <c r="D204" t="s">
        <v>246</v>
      </c>
    </row>
    <row r="205" spans="1:4">
      <c r="A205" t="s">
        <v>507</v>
      </c>
      <c r="B205" t="s">
        <v>553</v>
      </c>
      <c r="C205" t="s">
        <v>275</v>
      </c>
      <c r="D205" t="s">
        <v>246</v>
      </c>
    </row>
    <row r="206" spans="1:4">
      <c r="A206" t="s">
        <v>508</v>
      </c>
      <c r="B206" t="s">
        <v>694</v>
      </c>
      <c r="C206" t="s">
        <v>275</v>
      </c>
      <c r="D206" t="s">
        <v>246</v>
      </c>
    </row>
    <row r="207" spans="1:4" ht="15.75" thickBot="1">
      <c r="A207" t="s">
        <v>573</v>
      </c>
      <c r="B207" s="78" t="s">
        <v>554</v>
      </c>
      <c r="C207" t="s">
        <v>275</v>
      </c>
      <c r="D207" t="s">
        <v>246</v>
      </c>
    </row>
    <row r="208" spans="1:4" ht="15.75" thickTop="1">
      <c r="A208" t="s">
        <v>574</v>
      </c>
      <c r="B208" s="79" t="s">
        <v>555</v>
      </c>
      <c r="C208" t="s">
        <v>275</v>
      </c>
      <c r="D208" t="s">
        <v>246</v>
      </c>
    </row>
    <row r="209" spans="1:5">
      <c r="A209" t="s">
        <v>510</v>
      </c>
      <c r="B209" s="86" t="s">
        <v>556</v>
      </c>
      <c r="C209" t="s">
        <v>242</v>
      </c>
      <c r="D209" t="s">
        <v>240</v>
      </c>
    </row>
    <row r="210" spans="1:5">
      <c r="A210" t="s">
        <v>511</v>
      </c>
      <c r="B210" s="84" t="s">
        <v>557</v>
      </c>
      <c r="C210" t="s">
        <v>375</v>
      </c>
      <c r="D210" t="s">
        <v>246</v>
      </c>
    </row>
    <row r="211" spans="1:5">
      <c r="A211" t="s">
        <v>512</v>
      </c>
      <c r="B211" s="85" t="s">
        <v>558</v>
      </c>
      <c r="C211" t="s">
        <v>275</v>
      </c>
      <c r="D211" t="s">
        <v>246</v>
      </c>
    </row>
    <row r="212" spans="1:5" ht="18.75">
      <c r="A212" s="81" t="s">
        <v>298</v>
      </c>
      <c r="B212" s="81"/>
      <c r="C212" s="81"/>
      <c r="D212" s="81"/>
      <c r="E212" s="81"/>
    </row>
    <row r="213" spans="1:5">
      <c r="A213" s="31" t="s">
        <v>430</v>
      </c>
      <c r="B213" t="s">
        <v>562</v>
      </c>
      <c r="C213" t="s">
        <v>242</v>
      </c>
      <c r="D213" t="s">
        <v>246</v>
      </c>
      <c r="E213" t="s">
        <v>299</v>
      </c>
    </row>
    <row r="214" spans="1:5">
      <c r="A214" t="s">
        <v>431</v>
      </c>
      <c r="B214" t="s">
        <v>523</v>
      </c>
      <c r="C214" t="s">
        <v>248</v>
      </c>
      <c r="D214" t="s">
        <v>246</v>
      </c>
      <c r="E214" t="s">
        <v>300</v>
      </c>
    </row>
    <row r="215" spans="1:5">
      <c r="A215" t="s">
        <v>432</v>
      </c>
      <c r="B215" t="s">
        <v>147</v>
      </c>
      <c r="C215" t="s">
        <v>426</v>
      </c>
      <c r="D215" t="s">
        <v>246</v>
      </c>
      <c r="E215" t="s">
        <v>301</v>
      </c>
    </row>
    <row r="216" spans="1:5">
      <c r="A216" t="s">
        <v>433</v>
      </c>
      <c r="B216" t="s">
        <v>148</v>
      </c>
      <c r="C216" t="s">
        <v>248</v>
      </c>
      <c r="D216" t="s">
        <v>246</v>
      </c>
      <c r="E216" t="s">
        <v>302</v>
      </c>
    </row>
    <row r="217" spans="1:5">
      <c r="A217" t="s">
        <v>434</v>
      </c>
      <c r="B217" t="s">
        <v>696</v>
      </c>
      <c r="C217" t="s">
        <v>275</v>
      </c>
      <c r="D217" t="s">
        <v>246</v>
      </c>
      <c r="E217" t="s">
        <v>303</v>
      </c>
    </row>
    <row r="218" spans="1:5">
      <c r="A218" t="s">
        <v>435</v>
      </c>
      <c r="B218" t="s">
        <v>149</v>
      </c>
      <c r="C218" t="s">
        <v>242</v>
      </c>
      <c r="D218" t="s">
        <v>240</v>
      </c>
      <c r="E218" t="s">
        <v>304</v>
      </c>
    </row>
    <row r="219" spans="1:5">
      <c r="A219" t="s">
        <v>436</v>
      </c>
      <c r="B219" t="s">
        <v>524</v>
      </c>
      <c r="C219" t="s">
        <v>427</v>
      </c>
      <c r="D219" t="s">
        <v>246</v>
      </c>
      <c r="E219" t="s">
        <v>305</v>
      </c>
    </row>
    <row r="220" spans="1:5">
      <c r="A220" t="s">
        <v>437</v>
      </c>
      <c r="B220" t="s">
        <v>697</v>
      </c>
      <c r="C220" t="s">
        <v>275</v>
      </c>
      <c r="D220" t="s">
        <v>246</v>
      </c>
      <c r="E220" t="s">
        <v>306</v>
      </c>
    </row>
    <row r="221" spans="1:5">
      <c r="A221" s="31" t="s">
        <v>438</v>
      </c>
      <c r="B221" s="25" t="s">
        <v>564</v>
      </c>
      <c r="C221" t="s">
        <v>242</v>
      </c>
      <c r="D221" t="s">
        <v>240</v>
      </c>
      <c r="E221" t="s">
        <v>307</v>
      </c>
    </row>
    <row r="222" spans="1:5">
      <c r="A222" t="s">
        <v>440</v>
      </c>
      <c r="B222" t="s">
        <v>439</v>
      </c>
      <c r="C222" t="s">
        <v>372</v>
      </c>
      <c r="D222" t="s">
        <v>246</v>
      </c>
    </row>
  </sheetData>
  <autoFilter ref="A1:H222"/>
  <mergeCells count="1">
    <mergeCell ref="B191:C191"/>
  </mergeCells>
  <conditionalFormatting sqref="B212:B1048576 B1:B189">
    <cfRule type="duplicateValues" dxfId="5" priority="6"/>
  </conditionalFormatting>
  <conditionalFormatting sqref="B190">
    <cfRule type="duplicateValues" dxfId="4" priority="5"/>
  </conditionalFormatting>
  <conditionalFormatting sqref="B191:B211">
    <cfRule type="duplicateValues" dxfId="3" priority="8"/>
  </conditionalFormatting>
  <conditionalFormatting sqref="B1:B1048576">
    <cfRule type="duplicateValues" dxfId="2" priority="1"/>
    <cfRule type="duplicateValues" dxfId="1" priority="3"/>
  </conditionalFormatting>
  <conditionalFormatting sqref="B195">
    <cfRule type="duplicateValues" dxfId="0" priority="2"/>
  </conditionalFormatting>
  <pageMargins left="0.7" right="0.7" top="0.75" bottom="0.75" header="0.3" footer="0.3"/>
  <pageSetup orientation="portrait" r:id="rId1"/>
  <headerFooter>
    <oddFooter>&amp;C&amp;"Arial"&amp;8&amp;K8585FF BSE -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65011"/>
  <sheetViews>
    <sheetView showGridLines="0" topLeftCell="D5" zoomScale="98" zoomScaleNormal="98" workbookViewId="0">
      <selection activeCell="E10" sqref="E10:G10"/>
    </sheetView>
  </sheetViews>
  <sheetFormatPr defaultColWidth="0" defaultRowHeight="15" zeroHeight="1"/>
  <cols>
    <col min="1" max="3" width="0" hidden="1" customWidth="1"/>
    <col min="4" max="4" width="9.140625" customWidth="1"/>
    <col min="5" max="5" width="5" customWidth="1"/>
    <col min="6" max="6" width="97.140625" customWidth="1"/>
    <col min="7" max="10" width="26.85546875" customWidth="1"/>
    <col min="11" max="11" width="0" hidden="1" customWidth="1"/>
    <col min="12" max="16384" width="9.140625" hidden="1"/>
  </cols>
  <sheetData>
    <row r="1" spans="5:7" ht="18" hidden="1" customHeight="1">
      <c r="G1">
        <v>2</v>
      </c>
    </row>
    <row r="2" spans="5:7" ht="18" hidden="1" customHeight="1"/>
    <row r="3" spans="5:7" ht="18.75" hidden="1" customHeight="1"/>
    <row r="4" spans="5:7" ht="14.25" hidden="1" customHeight="1"/>
    <row r="5" spans="5:7" ht="16.5" customHeight="1"/>
    <row r="6" spans="5:7" ht="30.75" customHeight="1"/>
    <row r="7" spans="5:7">
      <c r="E7" s="31" t="s">
        <v>150</v>
      </c>
    </row>
    <row r="8" spans="5:7">
      <c r="E8" s="31" t="s">
        <v>690</v>
      </c>
    </row>
    <row r="9" spans="5:7">
      <c r="G9" s="89"/>
    </row>
    <row r="10" spans="5:7" ht="39.950000000000003" customHeight="1">
      <c r="E10" s="306" t="s">
        <v>684</v>
      </c>
      <c r="F10" s="307"/>
      <c r="G10" s="308"/>
    </row>
    <row r="11" spans="5:7" ht="24.75" customHeight="1">
      <c r="E11" s="50" t="s">
        <v>45</v>
      </c>
      <c r="F11" s="51" t="s">
        <v>151</v>
      </c>
      <c r="G11" s="52"/>
    </row>
    <row r="12" spans="5:7" ht="25.5" customHeight="1">
      <c r="E12" s="11" t="s">
        <v>47</v>
      </c>
      <c r="F12" s="54" t="s">
        <v>46</v>
      </c>
      <c r="G12" s="21" t="s">
        <v>698</v>
      </c>
    </row>
    <row r="13" spans="5:7" ht="25.5" customHeight="1">
      <c r="E13" s="11" t="s">
        <v>76</v>
      </c>
      <c r="F13" s="54" t="s">
        <v>48</v>
      </c>
      <c r="G13" s="199"/>
    </row>
    <row r="14" spans="5:7">
      <c r="E14" s="205" t="s">
        <v>49</v>
      </c>
      <c r="F14" s="205" t="s">
        <v>50</v>
      </c>
      <c r="G14" s="57" t="s">
        <v>672</v>
      </c>
    </row>
    <row r="15" spans="5:7">
      <c r="E15" s="58">
        <v>1</v>
      </c>
      <c r="F15" s="59" t="s">
        <v>152</v>
      </c>
      <c r="G15" s="60"/>
    </row>
    <row r="16" spans="5:7">
      <c r="E16" s="61"/>
      <c r="F16" s="62" t="s">
        <v>153</v>
      </c>
      <c r="G16" s="43"/>
    </row>
    <row r="17" spans="5:7">
      <c r="E17" s="61"/>
      <c r="F17" s="62" t="s">
        <v>154</v>
      </c>
      <c r="G17" s="43"/>
    </row>
    <row r="18" spans="5:7">
      <c r="E18" s="61"/>
      <c r="F18" s="62" t="s">
        <v>155</v>
      </c>
      <c r="G18" s="43"/>
    </row>
    <row r="19" spans="5:7">
      <c r="E19" s="61"/>
      <c r="F19" s="62" t="s">
        <v>156</v>
      </c>
      <c r="G19" s="43"/>
    </row>
    <row r="20" spans="5:7">
      <c r="E20" s="61"/>
      <c r="F20" s="62" t="s">
        <v>157</v>
      </c>
      <c r="G20" s="43"/>
    </row>
    <row r="21" spans="5:7" ht="20.100000000000001" customHeight="1">
      <c r="E21" s="61"/>
      <c r="F21" s="63" t="s">
        <v>158</v>
      </c>
      <c r="G21" s="43"/>
    </row>
    <row r="22" spans="5:7" ht="20.100000000000001" customHeight="1">
      <c r="E22" s="98"/>
      <c r="F22" s="99" t="s">
        <v>528</v>
      </c>
      <c r="G22" s="100" t="str">
        <f>+IF(COUNT(G16:G21)&gt;0,SUM(G16:G21),"")</f>
        <v/>
      </c>
    </row>
    <row r="23" spans="5:7" ht="45">
      <c r="E23" s="58">
        <v>2</v>
      </c>
      <c r="F23" s="64" t="s">
        <v>159</v>
      </c>
      <c r="G23" s="60"/>
    </row>
    <row r="24" spans="5:7">
      <c r="E24" s="61"/>
      <c r="F24" s="62" t="s">
        <v>160</v>
      </c>
      <c r="G24" s="43"/>
    </row>
    <row r="25" spans="5:7">
      <c r="E25" s="65"/>
      <c r="F25" s="62" t="s">
        <v>161</v>
      </c>
      <c r="G25" s="43"/>
    </row>
    <row r="26" spans="5:7">
      <c r="E26" s="65"/>
      <c r="F26" s="62" t="s">
        <v>162</v>
      </c>
      <c r="G26" s="43"/>
    </row>
    <row r="27" spans="5:7" ht="30">
      <c r="E27" s="65"/>
      <c r="F27" s="66" t="s">
        <v>163</v>
      </c>
      <c r="G27" s="43"/>
    </row>
    <row r="28" spans="5:7">
      <c r="E28" s="65"/>
      <c r="F28" s="62" t="s">
        <v>164</v>
      </c>
      <c r="G28" s="43"/>
    </row>
    <row r="29" spans="5:7">
      <c r="E29" s="65"/>
      <c r="F29" s="62" t="s">
        <v>165</v>
      </c>
      <c r="G29" s="43"/>
    </row>
    <row r="30" spans="5:7">
      <c r="E30" s="65"/>
      <c r="F30" s="62" t="s">
        <v>166</v>
      </c>
      <c r="G30" s="43"/>
    </row>
    <row r="31" spans="5:7">
      <c r="E31" s="65"/>
      <c r="F31" s="63" t="s">
        <v>520</v>
      </c>
      <c r="G31" s="43"/>
    </row>
    <row r="32" spans="5:7">
      <c r="E32" s="98"/>
      <c r="F32" s="99" t="s">
        <v>529</v>
      </c>
      <c r="G32" s="100" t="str">
        <f>IF(COUNT(G24:G31)&gt;0,SUM(G24:G31),"")</f>
        <v/>
      </c>
    </row>
    <row r="33" spans="5:7" ht="30">
      <c r="E33" s="67">
        <v>3</v>
      </c>
      <c r="F33" s="64" t="s">
        <v>167</v>
      </c>
      <c r="G33" s="68"/>
    </row>
    <row r="34" spans="5:7">
      <c r="E34" s="65"/>
      <c r="F34" s="62" t="s">
        <v>168</v>
      </c>
      <c r="G34" s="43"/>
    </row>
    <row r="35" spans="5:7">
      <c r="E35" s="65"/>
      <c r="F35" s="62" t="s">
        <v>169</v>
      </c>
      <c r="G35" s="43"/>
    </row>
    <row r="36" spans="5:7">
      <c r="E36" s="65"/>
      <c r="F36" s="62" t="s">
        <v>170</v>
      </c>
      <c r="G36" s="43"/>
    </row>
    <row r="37" spans="5:7">
      <c r="E37" s="65"/>
      <c r="F37" s="62" t="s">
        <v>682</v>
      </c>
      <c r="G37" s="43"/>
    </row>
    <row r="38" spans="5:7">
      <c r="E38" s="65"/>
      <c r="F38" s="62" t="s">
        <v>522</v>
      </c>
      <c r="G38" s="43"/>
    </row>
    <row r="39" spans="5:7">
      <c r="E39" s="65"/>
      <c r="F39" s="62" t="s">
        <v>172</v>
      </c>
      <c r="G39" s="43"/>
    </row>
    <row r="40" spans="5:7">
      <c r="E40" s="65"/>
      <c r="F40" s="63" t="s">
        <v>521</v>
      </c>
      <c r="G40" s="43"/>
    </row>
    <row r="41" spans="5:7">
      <c r="E41" s="98"/>
      <c r="F41" s="99" t="s">
        <v>530</v>
      </c>
      <c r="G41" s="100" t="str">
        <f>+IF(COUNT(G34:G40)&gt;0,SUM(G34:G40),"")</f>
        <v/>
      </c>
    </row>
    <row r="42" spans="5:7" ht="45">
      <c r="E42" s="101">
        <v>4</v>
      </c>
      <c r="F42" s="102" t="s">
        <v>173</v>
      </c>
      <c r="G42" s="43"/>
    </row>
    <row r="43" spans="5:7">
      <c r="E43" s="51">
        <v>5</v>
      </c>
      <c r="F43" s="69" t="s">
        <v>174</v>
      </c>
      <c r="G43" s="43"/>
    </row>
    <row r="44" spans="5:7">
      <c r="E44" s="51">
        <v>6</v>
      </c>
      <c r="F44" s="69" t="s">
        <v>175</v>
      </c>
      <c r="G44" s="43"/>
    </row>
    <row r="45" spans="5:7">
      <c r="E45" s="51">
        <v>7</v>
      </c>
      <c r="F45" s="69" t="s">
        <v>176</v>
      </c>
      <c r="G45" s="43"/>
    </row>
    <row r="46" spans="5:7">
      <c r="E46" s="51">
        <v>8</v>
      </c>
      <c r="F46" s="69" t="s">
        <v>177</v>
      </c>
      <c r="G46" s="43"/>
    </row>
    <row r="47" spans="5:7">
      <c r="E47" s="67">
        <v>9</v>
      </c>
      <c r="F47" s="64" t="s">
        <v>178</v>
      </c>
      <c r="G47" s="68"/>
    </row>
    <row r="48" spans="5:7">
      <c r="E48" s="65"/>
      <c r="F48" s="70" t="s">
        <v>179</v>
      </c>
      <c r="G48" s="43"/>
    </row>
    <row r="49" spans="5:7">
      <c r="E49" s="65"/>
      <c r="F49" s="70" t="s">
        <v>180</v>
      </c>
      <c r="G49" s="43"/>
    </row>
    <row r="50" spans="5:7">
      <c r="E50" s="65"/>
      <c r="F50" s="70" t="s">
        <v>181</v>
      </c>
      <c r="G50" s="43"/>
    </row>
    <row r="51" spans="5:7">
      <c r="E51" s="65"/>
      <c r="F51" s="70" t="s">
        <v>683</v>
      </c>
      <c r="G51" s="43"/>
    </row>
    <row r="52" spans="5:7">
      <c r="E52" s="65"/>
      <c r="F52" s="70" t="s">
        <v>183</v>
      </c>
      <c r="G52" s="43"/>
    </row>
    <row r="53" spans="5:7">
      <c r="E53" s="65"/>
      <c r="F53" s="70" t="s">
        <v>184</v>
      </c>
      <c r="G53" s="43"/>
    </row>
    <row r="54" spans="5:7">
      <c r="E54" s="65"/>
      <c r="F54" s="70" t="s">
        <v>185</v>
      </c>
      <c r="G54" s="43"/>
    </row>
    <row r="55" spans="5:7">
      <c r="E55" s="65"/>
      <c r="F55" s="70" t="s">
        <v>186</v>
      </c>
      <c r="G55" s="43"/>
    </row>
    <row r="56" spans="5:7">
      <c r="E56" s="65"/>
      <c r="F56" s="70" t="s">
        <v>187</v>
      </c>
      <c r="G56" s="43"/>
    </row>
    <row r="57" spans="5:7">
      <c r="E57" s="65"/>
      <c r="F57" s="70" t="s">
        <v>188</v>
      </c>
      <c r="G57" s="43"/>
    </row>
    <row r="58" spans="5:7">
      <c r="E58" s="65"/>
      <c r="F58" s="70" t="s">
        <v>189</v>
      </c>
      <c r="G58" s="43"/>
    </row>
    <row r="59" spans="5:7">
      <c r="E59" s="65"/>
      <c r="F59" s="70" t="s">
        <v>190</v>
      </c>
      <c r="G59" s="43"/>
    </row>
    <row r="60" spans="5:7" ht="20.100000000000001" customHeight="1">
      <c r="E60" s="65"/>
      <c r="F60" s="70" t="s">
        <v>191</v>
      </c>
      <c r="G60" s="43"/>
    </row>
    <row r="61" spans="5:7" ht="20.100000000000001" customHeight="1">
      <c r="E61" s="98"/>
      <c r="F61" s="99" t="s">
        <v>531</v>
      </c>
      <c r="G61" s="100" t="str">
        <f>IF(COUNT(G48:G60)&gt;0,SUM(G48:G60),"")</f>
        <v/>
      </c>
    </row>
    <row r="62" spans="5:7">
      <c r="E62" s="67">
        <v>10</v>
      </c>
      <c r="F62" s="64" t="s">
        <v>192</v>
      </c>
      <c r="G62" s="68"/>
    </row>
    <row r="63" spans="5:7">
      <c r="E63" s="65"/>
      <c r="F63" s="71" t="s">
        <v>193</v>
      </c>
      <c r="G63" s="43"/>
    </row>
    <row r="64" spans="5:7">
      <c r="E64" s="72"/>
      <c r="F64" s="64" t="s">
        <v>194</v>
      </c>
      <c r="G64" s="68"/>
    </row>
    <row r="65" spans="5:7">
      <c r="E65" s="65"/>
      <c r="F65" s="70" t="s">
        <v>195</v>
      </c>
      <c r="G65" s="43"/>
    </row>
    <row r="66" spans="5:7">
      <c r="E66" s="65"/>
      <c r="F66" s="70" t="s">
        <v>196</v>
      </c>
      <c r="G66" s="43"/>
    </row>
    <row r="67" spans="5:7">
      <c r="E67" s="65"/>
      <c r="F67" s="70" t="s">
        <v>197</v>
      </c>
      <c r="G67" s="43"/>
    </row>
    <row r="68" spans="5:7">
      <c r="E68" s="65"/>
      <c r="F68" s="70" t="s">
        <v>198</v>
      </c>
      <c r="G68" s="43"/>
    </row>
    <row r="69" spans="5:7">
      <c r="E69" s="65"/>
      <c r="F69" s="70" t="s">
        <v>199</v>
      </c>
      <c r="G69" s="43"/>
    </row>
    <row r="70" spans="5:7">
      <c r="E70" s="65"/>
      <c r="F70" s="70" t="s">
        <v>200</v>
      </c>
      <c r="G70" s="43"/>
    </row>
    <row r="71" spans="5:7">
      <c r="E71" s="65"/>
      <c r="F71" s="70" t="s">
        <v>201</v>
      </c>
      <c r="G71" s="43"/>
    </row>
    <row r="72" spans="5:7">
      <c r="E72" s="98"/>
      <c r="F72" s="99" t="s">
        <v>533</v>
      </c>
      <c r="G72" s="100" t="str">
        <f>+IF(COUNT(G65:G71)&gt;0,SUM(G65:G71),"")</f>
        <v/>
      </c>
    </row>
    <row r="73" spans="5:7">
      <c r="E73" s="98"/>
      <c r="F73" s="99" t="s">
        <v>532</v>
      </c>
      <c r="G73" s="100" t="str">
        <f>+IF(COUNT(G63,G72)&gt;0,SUM(G63,G72),"")</f>
        <v/>
      </c>
    </row>
    <row r="74" spans="5:7">
      <c r="E74" s="51">
        <v>11</v>
      </c>
      <c r="F74" s="69" t="s">
        <v>202</v>
      </c>
      <c r="G74" s="43"/>
    </row>
    <row r="75" spans="5:7" ht="30">
      <c r="E75" s="51">
        <v>12</v>
      </c>
      <c r="F75" s="69" t="s">
        <v>203</v>
      </c>
      <c r="G75" s="43"/>
    </row>
    <row r="76" spans="5:7" ht="30">
      <c r="E76" s="51">
        <v>13</v>
      </c>
      <c r="F76" s="69" t="s">
        <v>204</v>
      </c>
      <c r="G76" s="43"/>
    </row>
    <row r="77" spans="5:7" ht="30">
      <c r="E77" s="51">
        <v>14</v>
      </c>
      <c r="F77" s="69" t="s">
        <v>205</v>
      </c>
      <c r="G77" s="43"/>
    </row>
    <row r="78" spans="5:7" ht="30">
      <c r="E78" s="51">
        <v>15</v>
      </c>
      <c r="F78" s="69" t="s">
        <v>206</v>
      </c>
      <c r="G78" s="43"/>
    </row>
    <row r="79" spans="5:7" ht="30">
      <c r="E79" s="51">
        <v>16</v>
      </c>
      <c r="F79" s="69" t="s">
        <v>207</v>
      </c>
      <c r="G79" s="43"/>
    </row>
    <row r="80" spans="5:7" ht="30">
      <c r="E80" s="51">
        <v>17</v>
      </c>
      <c r="F80" s="69" t="s">
        <v>208</v>
      </c>
      <c r="G80" s="43"/>
    </row>
    <row r="81" spans="4:7">
      <c r="E81" s="51">
        <v>18</v>
      </c>
      <c r="F81" s="69" t="s">
        <v>209</v>
      </c>
      <c r="G81" s="43"/>
    </row>
    <row r="82" spans="4:7">
      <c r="E82" s="73"/>
      <c r="F82" s="69" t="s">
        <v>210</v>
      </c>
      <c r="G82" s="215" t="str">
        <f>IF(COUNT(G22,G32,G41,G42,G43,G44,G45,G46,G61,G73,G74,G75,G76,G77,G78,G79,G80,G81)&gt;0,+IF(G22="",0,G22)+IF(G32="",0,G32)+IF(G41="",0,G41)+IF(G42="",0,G42)-IF(G43="",0,G43)+IF(G44="",0,G44)-IF(G45="",0,G45)-IF(G46="",0,G46)-IF(G61="",0,G61)-IF(G73="",0,G73)+IF(G74="",0,G74)-IF(G75="",0,G75)+IF(G76="",0,G76)-IF(G77="",0,G77)-IF(G78="",0,G78)+IF(G79="",0,G79)+IF(G80="",0,G80)+IF(G81="",0,G81),"")</f>
        <v/>
      </c>
    </row>
    <row r="83" spans="4:7">
      <c r="G83" s="106"/>
    </row>
    <row r="84" spans="4:7" ht="24" customHeight="1"/>
    <row r="85" spans="4:7" ht="41.25" customHeight="1"/>
    <row r="86" spans="4:7" ht="17.25" hidden="1" customHeight="1"/>
    <row r="87" spans="4:7" ht="15" hidden="1" customHeight="1"/>
    <row r="88" spans="4:7" ht="26.25" hidden="1" customHeight="1">
      <c r="D88">
        <v>2</v>
      </c>
      <c r="G88" s="53" t="s">
        <v>535</v>
      </c>
    </row>
    <row r="89" spans="4:7" hidden="1">
      <c r="G89" s="55" t="s">
        <v>698</v>
      </c>
    </row>
    <row r="90" spans="4:7" hidden="1">
      <c r="G90" s="56"/>
    </row>
    <row r="91" spans="4:7" hidden="1">
      <c r="G91" s="57" t="s">
        <v>672</v>
      </c>
    </row>
    <row r="92" spans="4:7" hidden="1">
      <c r="G92" s="60"/>
    </row>
    <row r="93" spans="4:7" hidden="1">
      <c r="G93" s="43"/>
    </row>
    <row r="94" spans="4:7" hidden="1">
      <c r="G94" s="43"/>
    </row>
    <row r="95" spans="4:7" hidden="1">
      <c r="G95" s="43"/>
    </row>
    <row r="96" spans="4:7" hidden="1">
      <c r="G96" s="43"/>
    </row>
    <row r="97" spans="7:7" hidden="1">
      <c r="G97" s="43"/>
    </row>
    <row r="98" spans="7:7" hidden="1">
      <c r="G98" s="43"/>
    </row>
    <row r="99" spans="7:7" hidden="1">
      <c r="G99" s="100" t="str">
        <f>+IF(COUNT(G93:G98)&gt;0,SUM(G93:G98),"")</f>
        <v/>
      </c>
    </row>
    <row r="100" spans="7:7" hidden="1">
      <c r="G100" s="60"/>
    </row>
    <row r="101" spans="7:7" hidden="1">
      <c r="G101" s="43"/>
    </row>
    <row r="102" spans="7:7" hidden="1">
      <c r="G102" s="43"/>
    </row>
    <row r="103" spans="7:7" hidden="1">
      <c r="G103" s="43"/>
    </row>
    <row r="104" spans="7:7" hidden="1">
      <c r="G104" s="43"/>
    </row>
    <row r="105" spans="7:7" hidden="1">
      <c r="G105" s="43"/>
    </row>
    <row r="106" spans="7:7" hidden="1">
      <c r="G106" s="43"/>
    </row>
    <row r="107" spans="7:7" hidden="1">
      <c r="G107" s="43"/>
    </row>
    <row r="108" spans="7:7" hidden="1">
      <c r="G108" s="43"/>
    </row>
    <row r="109" spans="7:7" hidden="1">
      <c r="G109" s="100" t="str">
        <f>IF(COUNT(G101:G108)&gt;0,SUM(G101:G108),"")</f>
        <v/>
      </c>
    </row>
    <row r="110" spans="7:7" hidden="1">
      <c r="G110" s="68"/>
    </row>
    <row r="111" spans="7:7" hidden="1">
      <c r="G111" s="43"/>
    </row>
    <row r="112" spans="7:7" hidden="1">
      <c r="G112" s="43"/>
    </row>
    <row r="113" spans="7:7" hidden="1">
      <c r="G113" s="43"/>
    </row>
    <row r="114" spans="7:7" hidden="1">
      <c r="G114" s="43"/>
    </row>
    <row r="115" spans="7:7" hidden="1">
      <c r="G115" s="43"/>
    </row>
    <row r="116" spans="7:7" hidden="1">
      <c r="G116" s="43"/>
    </row>
    <row r="117" spans="7:7" hidden="1">
      <c r="G117" s="43"/>
    </row>
    <row r="118" spans="7:7" hidden="1">
      <c r="G118" s="100" t="str">
        <f>+IF(COUNT(G111:G117)&gt;0,SUM(G111:G117),"")</f>
        <v/>
      </c>
    </row>
    <row r="119" spans="7:7" hidden="1">
      <c r="G119" s="43"/>
    </row>
    <row r="120" spans="7:7" hidden="1">
      <c r="G120" s="43"/>
    </row>
    <row r="121" spans="7:7" hidden="1">
      <c r="G121" s="43"/>
    </row>
    <row r="122" spans="7:7" hidden="1">
      <c r="G122" s="43"/>
    </row>
    <row r="123" spans="7:7" hidden="1">
      <c r="G123" s="43"/>
    </row>
    <row r="124" spans="7:7" hidden="1">
      <c r="G124" s="68"/>
    </row>
    <row r="125" spans="7:7" hidden="1">
      <c r="G125" s="43"/>
    </row>
    <row r="126" spans="7:7" hidden="1">
      <c r="G126" s="43"/>
    </row>
    <row r="127" spans="7:7" hidden="1">
      <c r="G127" s="43"/>
    </row>
    <row r="128" spans="7:7" hidden="1">
      <c r="G128" s="43"/>
    </row>
    <row r="129" spans="7:7" hidden="1">
      <c r="G129" s="43"/>
    </row>
    <row r="130" spans="7:7" hidden="1">
      <c r="G130" s="43"/>
    </row>
    <row r="131" spans="7:7" hidden="1">
      <c r="G131" s="43"/>
    </row>
    <row r="132" spans="7:7" hidden="1">
      <c r="G132" s="43"/>
    </row>
    <row r="133" spans="7:7" hidden="1">
      <c r="G133" s="43"/>
    </row>
    <row r="134" spans="7:7" hidden="1">
      <c r="G134" s="43"/>
    </row>
    <row r="135" spans="7:7" hidden="1">
      <c r="G135" s="43"/>
    </row>
    <row r="136" spans="7:7" hidden="1">
      <c r="G136" s="43"/>
    </row>
    <row r="137" spans="7:7" hidden="1">
      <c r="G137" s="43"/>
    </row>
    <row r="138" spans="7:7" hidden="1">
      <c r="G138" s="100" t="str">
        <f>IF(COUNT(G125:G137)&gt;0,SUM(G125:G137),"")</f>
        <v/>
      </c>
    </row>
    <row r="139" spans="7:7" hidden="1">
      <c r="G139" s="68"/>
    </row>
    <row r="140" spans="7:7" hidden="1">
      <c r="G140" s="43"/>
    </row>
    <row r="141" spans="7:7" hidden="1">
      <c r="G141" s="68"/>
    </row>
    <row r="142" spans="7:7" hidden="1">
      <c r="G142" s="43"/>
    </row>
    <row r="143" spans="7:7" hidden="1">
      <c r="G143" s="43"/>
    </row>
    <row r="144" spans="7:7" hidden="1">
      <c r="G144" s="43"/>
    </row>
    <row r="145" spans="7:7" hidden="1">
      <c r="G145" s="43"/>
    </row>
    <row r="146" spans="7:7" hidden="1">
      <c r="G146" s="43"/>
    </row>
    <row r="147" spans="7:7" hidden="1">
      <c r="G147" s="43"/>
    </row>
    <row r="148" spans="7:7" hidden="1">
      <c r="G148" s="43"/>
    </row>
    <row r="149" spans="7:7" hidden="1">
      <c r="G149" s="100" t="str">
        <f>+IF(COUNT(G142:G148)&gt;0,SUM(G142:G148),"")</f>
        <v/>
      </c>
    </row>
    <row r="150" spans="7:7" hidden="1">
      <c r="G150" s="100" t="str">
        <f>+IF(COUNT(G140,G149)&gt;0,SUM(G140,G149),"")</f>
        <v/>
      </c>
    </row>
    <row r="151" spans="7:7" hidden="1">
      <c r="G151" s="43"/>
    </row>
    <row r="152" spans="7:7" hidden="1">
      <c r="G152" s="43"/>
    </row>
    <row r="153" spans="7:7" hidden="1">
      <c r="G153" s="43"/>
    </row>
    <row r="154" spans="7:7" hidden="1">
      <c r="G154" s="43"/>
    </row>
    <row r="155" spans="7:7" hidden="1">
      <c r="G155" s="43"/>
    </row>
    <row r="156" spans="7:7" hidden="1">
      <c r="G156" s="43"/>
    </row>
    <row r="157" spans="7:7" hidden="1">
      <c r="G157" s="43"/>
    </row>
    <row r="158" spans="7:7" hidden="1">
      <c r="G158" s="43"/>
    </row>
    <row r="159" spans="7:7" hidden="1">
      <c r="G159" s="100" t="str">
        <f>IF(COUNT(G99,G109,G118,G119,G120,G121,G122,G123,G138,G150,G151,G152,G153,G154,G155,G156,G157,G158)&gt;0,+IF(G99="",0,G99)+IF(G109="",0,G109)+IF(G118="",0,G118)+IF(G119="",0,G119)-IF(G120="",0,G120)+IF(G121="",0,G121)-IF(G122="",0,G122)-IF(G123="",0,G123)-IF(G138="",0,G138)-IF(G150="",0,G150)+IF(G151="",0,G151)-IF(G152="",0,G152)+IF(G153="",0,G153)-IF(G154="",0,G154)-IF(G155="",0,G155)+IF(G156="",0,G156)+IF(G157="",0,G157)+IF(G158="",0,G158),"")</f>
        <v/>
      </c>
    </row>
    <row r="160" spans="7:7"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sheetData>
  <sheetProtection algorithmName="SHA-512" hashValue="glhiqGzTh7/mFYzsB3Nj+T7NdBR23HNt/tyjMBPD38+EeZ/vEzn155Mu8x5xfZ+W0Y9Qt5vcS3MbT5vVAtXtEQ==" saltValue="ZQKi9w/oGJ5z62tnfP1jwg==" spinCount="100000" sheet="1" objects="1" scenarios="1"/>
  <mergeCells count="1">
    <mergeCell ref="E10:G10"/>
  </mergeCells>
  <dataValidations count="1">
    <dataValidation type="decimal" allowBlank="1" showInputMessage="1" showErrorMessage="1" sqref="G140 G93:G98 G151:G155 G157:G158 G111:G117 G119:G123 G142:G148 G101:G108 G125:G137 G63 G16:G21 G74:G78 G80:G81 G34:G40 G42:G46 G65:G71 G24:G31 G48:G60">
      <formula1>-9.99999999999999E+36</formula1>
      <formula2>9.99999999999999E+36</formula2>
    </dataValidation>
  </dataValidations>
  <hyperlinks>
    <hyperlink ref="G88" location="'Net Distributable Cash Flow'!A1" display="Delete Record "/>
  </hyperlinks>
  <pageMargins left="0.7" right="0.7" top="0.75" bottom="0.75" header="0.3" footer="0.3"/>
  <pageSetup orientation="portrait" r:id="rId1"/>
  <headerFooter>
    <oddFooter>&amp;C&amp;"Arial"&amp;8&amp;K8585FF BSE - 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D1:K500"/>
  <sheetViews>
    <sheetView showGridLines="0" topLeftCell="D6" workbookViewId="0">
      <selection activeCell="E8" sqref="E8:H8"/>
    </sheetView>
  </sheetViews>
  <sheetFormatPr defaultColWidth="0" defaultRowHeight="15" zeroHeight="1"/>
  <cols>
    <col min="1" max="3" width="9.140625" hidden="1" customWidth="1"/>
    <col min="4" max="5" width="9.140625" customWidth="1"/>
    <col min="6" max="6" width="53.42578125" bestFit="1" customWidth="1"/>
    <col min="7" max="7" width="15.7109375" customWidth="1"/>
    <col min="8" max="11" width="25.5703125" customWidth="1"/>
    <col min="12" max="13" width="9.140625" hidden="1" customWidth="1"/>
    <col min="14" max="16384" width="9.140625" hidden="1"/>
  </cols>
  <sheetData>
    <row r="1" spans="5:8" ht="21.75" hidden="1" customHeight="1">
      <c r="H1">
        <v>2</v>
      </c>
    </row>
    <row r="2" spans="5:8" ht="21.75" hidden="1" customHeight="1"/>
    <row r="3" spans="5:8" ht="21.75" hidden="1" customHeight="1"/>
    <row r="4" spans="5:8" ht="21.75" hidden="1" customHeight="1"/>
    <row r="5" spans="5:8" ht="21.75" hidden="1" customHeight="1">
      <c r="G5" s="96" t="s">
        <v>211</v>
      </c>
      <c r="H5" s="96" t="s">
        <v>212</v>
      </c>
    </row>
    <row r="6" spans="5:8" ht="29.25" customHeight="1"/>
    <row r="7" spans="5:8"/>
    <row r="8" spans="5:8" ht="30" customHeight="1">
      <c r="E8" s="306" t="s">
        <v>213</v>
      </c>
      <c r="F8" s="307"/>
      <c r="G8" s="307"/>
      <c r="H8" s="308"/>
    </row>
    <row r="9" spans="5:8" ht="30" customHeight="1">
      <c r="E9" s="133"/>
      <c r="F9" s="134"/>
      <c r="G9" s="134"/>
      <c r="H9" s="135"/>
    </row>
    <row r="10" spans="5:8" ht="25.5" customHeight="1">
      <c r="E10" s="136">
        <v>1</v>
      </c>
      <c r="F10" s="347" t="s">
        <v>46</v>
      </c>
      <c r="G10" s="347"/>
      <c r="H10" s="200" t="s">
        <v>698</v>
      </c>
    </row>
    <row r="11" spans="5:8" ht="25.5" customHeight="1">
      <c r="E11" s="137">
        <v>2</v>
      </c>
      <c r="F11" s="348" t="s">
        <v>48</v>
      </c>
      <c r="G11" s="348"/>
      <c r="H11" s="200" t="s">
        <v>698</v>
      </c>
    </row>
    <row r="12" spans="5:8" ht="15" customHeight="1">
      <c r="E12" s="118" t="s">
        <v>578</v>
      </c>
      <c r="F12" s="349" t="s">
        <v>579</v>
      </c>
      <c r="G12" s="350"/>
      <c r="H12" s="207" t="s">
        <v>672</v>
      </c>
    </row>
    <row r="13" spans="5:8" ht="15" customHeight="1">
      <c r="E13" s="138"/>
      <c r="F13" s="351" t="s">
        <v>214</v>
      </c>
      <c r="G13" s="352"/>
      <c r="H13" s="139"/>
    </row>
    <row r="14" spans="5:8" ht="15" customHeight="1">
      <c r="E14" s="140"/>
      <c r="F14" s="353" t="s">
        <v>215</v>
      </c>
      <c r="G14" s="354"/>
      <c r="H14" s="141"/>
    </row>
    <row r="15" spans="5:8" ht="15" customHeight="1">
      <c r="E15" s="119" t="s">
        <v>216</v>
      </c>
      <c r="F15" s="120"/>
      <c r="G15" s="120"/>
      <c r="H15" s="75"/>
    </row>
    <row r="16" spans="5:8" ht="15" customHeight="1">
      <c r="E16" s="121" t="s">
        <v>45</v>
      </c>
      <c r="F16" s="355" t="s">
        <v>589</v>
      </c>
      <c r="G16" s="356"/>
      <c r="H16" s="76"/>
    </row>
    <row r="17" spans="5:8" ht="15" customHeight="1">
      <c r="E17" s="154">
        <v>1</v>
      </c>
      <c r="F17" s="356" t="s">
        <v>217</v>
      </c>
      <c r="G17" s="360"/>
      <c r="H17" s="75"/>
    </row>
    <row r="18" spans="5:8" ht="15" customHeight="1">
      <c r="E18" s="149" t="s">
        <v>580</v>
      </c>
      <c r="F18" s="357" t="s">
        <v>347</v>
      </c>
      <c r="G18" s="357"/>
      <c r="H18" s="88"/>
    </row>
    <row r="19" spans="5:8" ht="15" customHeight="1">
      <c r="E19" s="151" t="s">
        <v>581</v>
      </c>
      <c r="F19" s="358" t="s">
        <v>348</v>
      </c>
      <c r="G19" s="358"/>
      <c r="H19" s="201" t="str">
        <f>IF(COUNT(H21:H25)&gt;0,+SUM(H21:H25),"")</f>
        <v/>
      </c>
    </row>
    <row r="20" spans="5:8" ht="15" customHeight="1">
      <c r="E20" s="151"/>
      <c r="F20" s="122" t="s">
        <v>218</v>
      </c>
      <c r="G20" s="150" t="s">
        <v>219</v>
      </c>
      <c r="H20" s="77"/>
    </row>
    <row r="21" spans="5:8" ht="15" customHeight="1">
      <c r="E21" s="152" t="s">
        <v>584</v>
      </c>
      <c r="F21" s="153"/>
      <c r="G21" s="128"/>
      <c r="H21" s="124"/>
    </row>
    <row r="22" spans="5:8" ht="15" customHeight="1">
      <c r="E22" s="145" t="s">
        <v>585</v>
      </c>
      <c r="F22" s="129"/>
      <c r="G22" s="130"/>
      <c r="H22" s="125"/>
    </row>
    <row r="23" spans="5:8" ht="15" customHeight="1">
      <c r="E23" s="145" t="s">
        <v>586</v>
      </c>
      <c r="F23" s="129"/>
      <c r="G23" s="130"/>
      <c r="H23" s="125"/>
    </row>
    <row r="24" spans="5:8" ht="15" customHeight="1">
      <c r="E24" s="145" t="s">
        <v>587</v>
      </c>
      <c r="F24" s="129"/>
      <c r="G24" s="130"/>
      <c r="H24" s="125"/>
    </row>
    <row r="25" spans="5:8" ht="15" customHeight="1">
      <c r="E25" s="146" t="s">
        <v>588</v>
      </c>
      <c r="F25" s="131"/>
      <c r="G25" s="132"/>
      <c r="H25" s="126"/>
    </row>
    <row r="26" spans="5:8" ht="15" customHeight="1">
      <c r="E26" s="76"/>
      <c r="F26" s="359" t="s">
        <v>576</v>
      </c>
      <c r="G26" s="359"/>
      <c r="H26" s="109" t="str">
        <f>+IF(COUNT(H18,H19)&gt;0,SUM(IF(H18="",0,H18)+IF(H19="",0,H19)),"")</f>
        <v/>
      </c>
    </row>
    <row r="27" spans="5:8" ht="15" customHeight="1">
      <c r="E27" s="155">
        <v>2</v>
      </c>
      <c r="F27" s="351" t="s">
        <v>220</v>
      </c>
      <c r="G27" s="351"/>
      <c r="H27" s="124"/>
    </row>
    <row r="28" spans="5:8" ht="15" customHeight="1">
      <c r="E28" s="156">
        <v>3</v>
      </c>
      <c r="F28" s="346" t="s">
        <v>221</v>
      </c>
      <c r="G28" s="346"/>
      <c r="H28" s="125"/>
    </row>
    <row r="29" spans="5:8" ht="15" customHeight="1" thickBot="1">
      <c r="E29" s="157">
        <v>4</v>
      </c>
      <c r="F29" s="338" t="s">
        <v>222</v>
      </c>
      <c r="G29" s="338"/>
      <c r="H29" s="126"/>
    </row>
    <row r="30" spans="5:8" ht="15" customHeight="1" thickTop="1" thickBot="1">
      <c r="E30" s="148"/>
      <c r="F30" s="339" t="s">
        <v>223</v>
      </c>
      <c r="G30" s="340"/>
      <c r="H30" s="110" t="str">
        <f>IF(COUNT(H26:H29)&gt;0,SUM(H26:H29),"")</f>
        <v/>
      </c>
    </row>
    <row r="31" spans="5:8" ht="15" customHeight="1" thickTop="1">
      <c r="E31" s="147" t="s">
        <v>47</v>
      </c>
      <c r="F31" s="342" t="s">
        <v>224</v>
      </c>
      <c r="G31" s="343"/>
      <c r="H31" s="111"/>
    </row>
    <row r="32" spans="5:8" ht="15" customHeight="1">
      <c r="E32" s="158">
        <v>1</v>
      </c>
      <c r="F32" s="341" t="s">
        <v>225</v>
      </c>
      <c r="G32" s="341"/>
      <c r="H32" s="124"/>
    </row>
    <row r="33" spans="5:8" ht="15" customHeight="1">
      <c r="E33" s="159">
        <v>2</v>
      </c>
      <c r="F33" s="336" t="s">
        <v>226</v>
      </c>
      <c r="G33" s="336"/>
      <c r="H33" s="125"/>
    </row>
    <row r="34" spans="5:8" ht="15" customHeight="1">
      <c r="E34" s="159">
        <v>3</v>
      </c>
      <c r="F34" s="336" t="s">
        <v>227</v>
      </c>
      <c r="G34" s="336"/>
      <c r="H34" s="125"/>
    </row>
    <row r="35" spans="5:8" ht="15" customHeight="1">
      <c r="E35" s="159">
        <v>4</v>
      </c>
      <c r="F35" s="336" t="s">
        <v>228</v>
      </c>
      <c r="G35" s="336"/>
      <c r="H35" s="125"/>
    </row>
    <row r="36" spans="5:8" ht="15" customHeight="1">
      <c r="E36" s="159">
        <v>5</v>
      </c>
      <c r="F36" s="336" t="s">
        <v>229</v>
      </c>
      <c r="G36" s="336"/>
      <c r="H36" s="125"/>
    </row>
    <row r="37" spans="5:8" ht="15" customHeight="1">
      <c r="E37" s="159">
        <v>6</v>
      </c>
      <c r="F37" s="336" t="s">
        <v>230</v>
      </c>
      <c r="G37" s="336"/>
      <c r="H37" s="125"/>
    </row>
    <row r="38" spans="5:8" ht="15" customHeight="1" thickBot="1">
      <c r="E38" s="160">
        <v>7</v>
      </c>
      <c r="F38" s="337" t="s">
        <v>693</v>
      </c>
      <c r="G38" s="337"/>
      <c r="H38" s="126"/>
    </row>
    <row r="39" spans="5:8" ht="15" customHeight="1" thickTop="1" thickBot="1">
      <c r="E39" s="148"/>
      <c r="F39" s="339" t="s">
        <v>231</v>
      </c>
      <c r="G39" s="340"/>
      <c r="H39" s="112" t="str">
        <f>IF(COUNT(H32:H38)&gt;0,SUM(H32:H38),"")</f>
        <v/>
      </c>
    </row>
    <row r="40" spans="5:8" ht="15" customHeight="1" thickTop="1">
      <c r="E40" s="147" t="s">
        <v>76</v>
      </c>
      <c r="F40" s="344" t="s">
        <v>232</v>
      </c>
      <c r="G40" s="345"/>
      <c r="H40" s="113" t="str">
        <f>IF(COUNT(H30,H39)&gt;0,SUM(H30,H39),"")</f>
        <v/>
      </c>
    </row>
    <row r="41" spans="5:8" ht="15" customHeight="1"/>
    <row r="42" spans="5:8"/>
    <row r="43" spans="5:8"/>
    <row r="44" spans="5:8"/>
    <row r="45" spans="5:8"/>
    <row r="46" spans="5:8"/>
    <row r="47" spans="5:8"/>
    <row r="48" spans="5:8"/>
    <row r="49" spans="4:8"/>
    <row r="50" spans="4:8"/>
    <row r="51" spans="4:8" hidden="1"/>
    <row r="52" spans="4:8" hidden="1"/>
    <row r="53" spans="4:8" ht="21.75" hidden="1" customHeight="1">
      <c r="D53">
        <v>2</v>
      </c>
      <c r="H53" s="53" t="s">
        <v>535</v>
      </c>
    </row>
    <row r="54" spans="4:8" hidden="1">
      <c r="H54" s="74" t="s">
        <v>698</v>
      </c>
    </row>
    <row r="55" spans="4:8" hidden="1">
      <c r="H55" s="74" t="s">
        <v>698</v>
      </c>
    </row>
    <row r="56" spans="4:8" hidden="1">
      <c r="H56" s="207" t="s">
        <v>672</v>
      </c>
    </row>
    <row r="57" spans="4:8" hidden="1">
      <c r="H57" s="139"/>
    </row>
    <row r="58" spans="4:8" hidden="1">
      <c r="H58" s="141"/>
    </row>
    <row r="59" spans="4:8" hidden="1">
      <c r="H59" s="75"/>
    </row>
    <row r="60" spans="4:8" hidden="1">
      <c r="H60" s="76"/>
    </row>
    <row r="61" spans="4:8" hidden="1">
      <c r="H61" s="75"/>
    </row>
    <row r="62" spans="4:8" hidden="1">
      <c r="H62" s="88"/>
    </row>
    <row r="63" spans="4:8" hidden="1">
      <c r="H63" s="109" t="str">
        <f>IF(COUNT(H65:H69)&gt;0,+SUM(H65:H69),"")</f>
        <v/>
      </c>
    </row>
    <row r="64" spans="4:8" hidden="1">
      <c r="H64" s="77"/>
    </row>
    <row r="65" spans="8:8" hidden="1">
      <c r="H65" s="124"/>
    </row>
    <row r="66" spans="8:8" hidden="1">
      <c r="H66" s="125"/>
    </row>
    <row r="67" spans="8:8" hidden="1">
      <c r="H67" s="125"/>
    </row>
    <row r="68" spans="8:8" hidden="1">
      <c r="H68" s="125"/>
    </row>
    <row r="69" spans="8:8" hidden="1">
      <c r="H69" s="126"/>
    </row>
    <row r="70" spans="8:8" hidden="1">
      <c r="H70" s="109" t="str">
        <f>+IF(COUNT(H62,H63)&gt;0,SUM(IF(H62="",0,H62)+IF(H63="",0,H63)),"")</f>
        <v/>
      </c>
    </row>
    <row r="71" spans="8:8" hidden="1">
      <c r="H71" s="124"/>
    </row>
    <row r="72" spans="8:8" hidden="1">
      <c r="H72" s="125"/>
    </row>
    <row r="73" spans="8:8" hidden="1">
      <c r="H73" s="126"/>
    </row>
    <row r="74" spans="8:8" hidden="1">
      <c r="H74" s="110" t="str">
        <f>IF(COUNT(H70:H73)&gt;0,SUM(H70:H73),"")</f>
        <v/>
      </c>
    </row>
    <row r="75" spans="8:8" hidden="1">
      <c r="H75" s="111"/>
    </row>
    <row r="76" spans="8:8" hidden="1">
      <c r="H76" s="124"/>
    </row>
    <row r="77" spans="8:8" hidden="1">
      <c r="H77" s="125"/>
    </row>
    <row r="78" spans="8:8" hidden="1">
      <c r="H78" s="125"/>
    </row>
    <row r="79" spans="8:8" hidden="1">
      <c r="H79" s="125"/>
    </row>
    <row r="80" spans="8:8" hidden="1">
      <c r="H80" s="125"/>
    </row>
    <row r="81" spans="8:8" hidden="1">
      <c r="H81" s="125"/>
    </row>
    <row r="82" spans="8:8" hidden="1">
      <c r="H82" s="126"/>
    </row>
    <row r="83" spans="8:8" ht="15.75" hidden="1" thickBot="1">
      <c r="H83" s="112" t="str">
        <f>IF(COUNT(H76:H82)&gt;0,SUM(H76:H82),"")</f>
        <v/>
      </c>
    </row>
    <row r="84" spans="8:8" ht="15.75" hidden="1" thickTop="1">
      <c r="H84" s="113" t="str">
        <f>IF(COUNT(H74,H83)&gt;0,SUM(H74,H83),"")</f>
        <v/>
      </c>
    </row>
    <row r="85" spans="8:8" hidden="1"/>
    <row r="86" spans="8:8" hidden="1"/>
    <row r="87" spans="8:8" hidden="1"/>
    <row r="88" spans="8:8" hidden="1"/>
    <row r="89" spans="8:8" hidden="1"/>
    <row r="90" spans="8:8" hidden="1"/>
    <row r="91" spans="8:8" hidden="1"/>
    <row r="92" spans="8:8" hidden="1"/>
    <row r="93" spans="8:8" hidden="1"/>
    <row r="94" spans="8:8" hidden="1"/>
    <row r="95" spans="8:8" hidden="1"/>
    <row r="96" spans="8:8"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sheetData>
  <sheetProtection algorithmName="SHA-512" hashValue="yVglsYf9wDpL1DCFlpkgXZqS8Lp2unT4mDIdm/00ICWHQ8ewVLeCAQE75Igmdz+yhXrRMk8A3H3aIVmKDJeOBw==" saltValue="cjUbzWSgDy2TpUN+DNkSyQ==" spinCount="100000" sheet="1" objects="1" scenarios="1"/>
  <mergeCells count="25">
    <mergeCell ref="F39:G39"/>
    <mergeCell ref="F40:G40"/>
    <mergeCell ref="F28:G28"/>
    <mergeCell ref="E8:H8"/>
    <mergeCell ref="F10:G10"/>
    <mergeCell ref="F11:G11"/>
    <mergeCell ref="F12:G12"/>
    <mergeCell ref="F13:G13"/>
    <mergeCell ref="F14:G14"/>
    <mergeCell ref="F16:G16"/>
    <mergeCell ref="F18:G18"/>
    <mergeCell ref="F19:G19"/>
    <mergeCell ref="F27:G27"/>
    <mergeCell ref="F26:G26"/>
    <mergeCell ref="F17:G17"/>
    <mergeCell ref="F36:G36"/>
    <mergeCell ref="F37:G37"/>
    <mergeCell ref="F38:G38"/>
    <mergeCell ref="F29:G29"/>
    <mergeCell ref="F30:G30"/>
    <mergeCell ref="F32:G32"/>
    <mergeCell ref="F33:G33"/>
    <mergeCell ref="F34:G34"/>
    <mergeCell ref="F35:G35"/>
    <mergeCell ref="F31:G31"/>
  </mergeCells>
  <dataValidations count="2">
    <dataValidation type="list" allowBlank="1" showInputMessage="1" showErrorMessage="1" sqref="H14 H58">
      <formula1>$G$5:$H$5</formula1>
    </dataValidation>
    <dataValidation type="decimal" allowBlank="1" showInputMessage="1" showErrorMessage="1" sqref="G21:H25 H27:H29 H32:H38 H18 H65:H69 H71:H73 H76:H82 H62">
      <formula1>-9.99999999999999E+36</formula1>
      <formula2>9.99999999999999E+36</formula2>
    </dataValidation>
  </dataValidations>
  <hyperlinks>
    <hyperlink ref="H53" location="'Capital and Debt Structure_SPVs'!A1" display="Delete Record "/>
  </hyperlinks>
  <pageMargins left="0.7" right="0.7" top="0.75" bottom="0.75" header="0.3" footer="0.3"/>
  <pageSetup orientation="portrait" r:id="rId1"/>
  <headerFooter>
    <oddFooter>&amp;C&amp;"Arial"&amp;8&amp;K8585FF BSE - 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100"/>
  <sheetViews>
    <sheetView showGridLines="0" topLeftCell="D5" workbookViewId="0">
      <selection activeCell="E8" sqref="E8:H8"/>
    </sheetView>
  </sheetViews>
  <sheetFormatPr defaultColWidth="0" defaultRowHeight="15" zeroHeight="1"/>
  <cols>
    <col min="1" max="3" width="0" hidden="1" customWidth="1"/>
    <col min="4" max="5" width="9.140625" customWidth="1"/>
    <col min="6" max="6" width="53.42578125" bestFit="1" customWidth="1"/>
    <col min="7" max="7" width="15.7109375" customWidth="1"/>
    <col min="8" max="11" width="25.5703125" customWidth="1"/>
    <col min="12" max="12" width="0" hidden="1" customWidth="1"/>
    <col min="13" max="16384" width="9.140625" hidden="1"/>
  </cols>
  <sheetData>
    <row r="1" spans="5:9" ht="36.75" hidden="1" customHeight="1">
      <c r="H1">
        <v>2</v>
      </c>
    </row>
    <row r="2" spans="5:9" ht="36.75" hidden="1" customHeight="1"/>
    <row r="3" spans="5:9" ht="36.75" hidden="1" customHeight="1"/>
    <row r="4" spans="5:9" ht="36.75" hidden="1" customHeight="1"/>
    <row r="5" spans="5:9" ht="26.25" customHeight="1">
      <c r="E5" s="362"/>
      <c r="F5" s="362"/>
      <c r="G5" s="362"/>
      <c r="H5" s="362"/>
      <c r="I5" s="362"/>
    </row>
    <row r="6" spans="5:9" ht="29.25" customHeight="1"/>
    <row r="7" spans="5:9"/>
    <row r="8" spans="5:9" ht="30" customHeight="1">
      <c r="E8" s="298" t="s">
        <v>594</v>
      </c>
      <c r="F8" s="299"/>
      <c r="G8" s="299"/>
      <c r="H8" s="300"/>
    </row>
    <row r="9" spans="5:9" ht="30" customHeight="1">
      <c r="E9" s="133"/>
      <c r="F9" s="134"/>
      <c r="G9" s="134"/>
      <c r="H9" s="142"/>
    </row>
    <row r="10" spans="5:9" ht="25.5" customHeight="1">
      <c r="E10" s="143">
        <v>1</v>
      </c>
      <c r="F10" s="347" t="s">
        <v>46</v>
      </c>
      <c r="G10" s="347"/>
      <c r="H10" s="200" t="s">
        <v>698</v>
      </c>
    </row>
    <row r="11" spans="5:9" ht="25.5" customHeight="1">
      <c r="E11" s="144">
        <v>2</v>
      </c>
      <c r="F11" s="348" t="s">
        <v>48</v>
      </c>
      <c r="G11" s="348"/>
      <c r="H11" s="200" t="s">
        <v>698</v>
      </c>
    </row>
    <row r="12" spans="5:9" ht="15" customHeight="1">
      <c r="E12" s="118" t="s">
        <v>590</v>
      </c>
      <c r="F12" s="349" t="s">
        <v>595</v>
      </c>
      <c r="G12" s="350"/>
      <c r="H12" s="207" t="s">
        <v>672</v>
      </c>
    </row>
    <row r="13" spans="5:9" ht="15" customHeight="1">
      <c r="E13" s="138"/>
      <c r="F13" s="351" t="s">
        <v>538</v>
      </c>
      <c r="G13" s="351"/>
      <c r="H13" s="139"/>
    </row>
    <row r="14" spans="5:9" ht="15" customHeight="1">
      <c r="E14" s="140"/>
      <c r="F14" s="353" t="s">
        <v>539</v>
      </c>
      <c r="G14" s="353"/>
      <c r="H14" s="141"/>
    </row>
    <row r="15" spans="5:9" ht="15" customHeight="1">
      <c r="E15" s="121" t="s">
        <v>45</v>
      </c>
      <c r="F15" s="355" t="s">
        <v>589</v>
      </c>
      <c r="G15" s="356"/>
      <c r="H15" s="115"/>
    </row>
    <row r="16" spans="5:9" ht="15" customHeight="1">
      <c r="E16" s="154">
        <v>1</v>
      </c>
      <c r="F16" s="356" t="s">
        <v>217</v>
      </c>
      <c r="G16" s="360"/>
      <c r="H16" s="114"/>
    </row>
    <row r="17" spans="5:8" ht="15" customHeight="1">
      <c r="E17" s="149" t="s">
        <v>580</v>
      </c>
      <c r="F17" s="363" t="s">
        <v>540</v>
      </c>
      <c r="G17" s="363"/>
      <c r="H17" s="88"/>
    </row>
    <row r="18" spans="5:8" ht="15" customHeight="1">
      <c r="E18" s="151" t="s">
        <v>581</v>
      </c>
      <c r="F18" s="364" t="s">
        <v>541</v>
      </c>
      <c r="G18" s="364"/>
      <c r="H18" s="109" t="str">
        <f>IF(COUNT(H20:H24)&gt;0,SUM(H20:H24),"")</f>
        <v/>
      </c>
    </row>
    <row r="19" spans="5:8" ht="15" customHeight="1">
      <c r="E19" s="151"/>
      <c r="F19" s="122" t="s">
        <v>218</v>
      </c>
      <c r="G19" s="123" t="s">
        <v>219</v>
      </c>
      <c r="H19" s="117"/>
    </row>
    <row r="20" spans="5:8" ht="15" customHeight="1">
      <c r="E20" s="152" t="s">
        <v>584</v>
      </c>
      <c r="F20" s="127"/>
      <c r="G20" s="128"/>
      <c r="H20" s="124"/>
    </row>
    <row r="21" spans="5:8" ht="15" customHeight="1">
      <c r="E21" s="145" t="s">
        <v>585</v>
      </c>
      <c r="F21" s="129"/>
      <c r="G21" s="130"/>
      <c r="H21" s="125"/>
    </row>
    <row r="22" spans="5:8" ht="15" customHeight="1">
      <c r="E22" s="145" t="s">
        <v>586</v>
      </c>
      <c r="F22" s="129"/>
      <c r="G22" s="130"/>
      <c r="H22" s="125"/>
    </row>
    <row r="23" spans="5:8" ht="15" customHeight="1">
      <c r="E23" s="145" t="s">
        <v>587</v>
      </c>
      <c r="F23" s="129"/>
      <c r="G23" s="130"/>
      <c r="H23" s="125"/>
    </row>
    <row r="24" spans="5:8" ht="15" customHeight="1">
      <c r="E24" s="146" t="s">
        <v>588</v>
      </c>
      <c r="F24" s="131"/>
      <c r="G24" s="132"/>
      <c r="H24" s="126"/>
    </row>
    <row r="25" spans="5:8" ht="15" customHeight="1">
      <c r="E25" s="76"/>
      <c r="F25" s="359" t="s">
        <v>577</v>
      </c>
      <c r="G25" s="359"/>
      <c r="H25" s="109" t="str">
        <f>IF(COUNT(H17:H18)&gt;0,SUM(H17:H18),"")</f>
        <v/>
      </c>
    </row>
    <row r="26" spans="5:8" ht="15" customHeight="1">
      <c r="E26" s="155">
        <v>2</v>
      </c>
      <c r="F26" s="351" t="s">
        <v>543</v>
      </c>
      <c r="G26" s="351"/>
      <c r="H26" s="124"/>
    </row>
    <row r="27" spans="5:8" ht="15" customHeight="1">
      <c r="E27" s="156">
        <v>3</v>
      </c>
      <c r="F27" s="346" t="s">
        <v>544</v>
      </c>
      <c r="G27" s="346"/>
      <c r="H27" s="125"/>
    </row>
    <row r="28" spans="5:8" ht="15" customHeight="1" thickBot="1">
      <c r="E28" s="157">
        <v>4</v>
      </c>
      <c r="F28" s="338" t="s">
        <v>545</v>
      </c>
      <c r="G28" s="338"/>
      <c r="H28" s="126"/>
    </row>
    <row r="29" spans="5:8" ht="15" customHeight="1" thickTop="1" thickBot="1">
      <c r="E29" s="148"/>
      <c r="F29" s="361" t="s">
        <v>546</v>
      </c>
      <c r="G29" s="361"/>
      <c r="H29" s="110" t="str">
        <f>IF(COUNT(H25:H28)&gt;0,SUM(H25:H28),"")</f>
        <v/>
      </c>
    </row>
    <row r="30" spans="5:8" ht="15" customHeight="1" thickTop="1">
      <c r="E30" s="147" t="s">
        <v>47</v>
      </c>
      <c r="F30" s="342" t="s">
        <v>224</v>
      </c>
      <c r="G30" s="343"/>
      <c r="H30" s="116"/>
    </row>
    <row r="31" spans="5:8" ht="15" customHeight="1">
      <c r="E31" s="158">
        <v>1</v>
      </c>
      <c r="F31" s="341" t="s">
        <v>548</v>
      </c>
      <c r="G31" s="341"/>
      <c r="H31" s="124"/>
    </row>
    <row r="32" spans="5:8" ht="15" customHeight="1">
      <c r="E32" s="159">
        <v>2</v>
      </c>
      <c r="F32" s="336" t="s">
        <v>549</v>
      </c>
      <c r="G32" s="336"/>
      <c r="H32" s="125"/>
    </row>
    <row r="33" spans="5:8" ht="15" customHeight="1">
      <c r="E33" s="159">
        <v>3</v>
      </c>
      <c r="F33" s="336" t="s">
        <v>550</v>
      </c>
      <c r="G33" s="336"/>
      <c r="H33" s="125"/>
    </row>
    <row r="34" spans="5:8" ht="15" customHeight="1">
      <c r="E34" s="159">
        <v>4</v>
      </c>
      <c r="F34" s="336" t="s">
        <v>551</v>
      </c>
      <c r="G34" s="336"/>
      <c r="H34" s="125"/>
    </row>
    <row r="35" spans="5:8" ht="15" customHeight="1">
      <c r="E35" s="159">
        <v>5</v>
      </c>
      <c r="F35" s="336" t="s">
        <v>552</v>
      </c>
      <c r="G35" s="336"/>
      <c r="H35" s="125"/>
    </row>
    <row r="36" spans="5:8" ht="15" customHeight="1">
      <c r="E36" s="159">
        <v>6</v>
      </c>
      <c r="F36" s="336" t="s">
        <v>553</v>
      </c>
      <c r="G36" s="336"/>
      <c r="H36" s="125"/>
    </row>
    <row r="37" spans="5:8" ht="15" customHeight="1" thickBot="1">
      <c r="E37" s="160">
        <v>7</v>
      </c>
      <c r="F37" s="337" t="s">
        <v>694</v>
      </c>
      <c r="G37" s="337"/>
      <c r="H37" s="126"/>
    </row>
    <row r="38" spans="5:8" ht="15" customHeight="1" thickTop="1" thickBot="1">
      <c r="E38" s="148"/>
      <c r="F38" s="361" t="s">
        <v>554</v>
      </c>
      <c r="G38" s="361"/>
      <c r="H38" s="112" t="str">
        <f>IF(COUNT(H31:H37)&gt;0,SUM(H31:H37),"")</f>
        <v/>
      </c>
    </row>
    <row r="39" spans="5:8" ht="15" customHeight="1" thickTop="1">
      <c r="E39" s="147" t="s">
        <v>76</v>
      </c>
      <c r="F39" s="344" t="s">
        <v>555</v>
      </c>
      <c r="G39" s="345"/>
      <c r="H39" s="113" t="str">
        <f>IF(COUNT(H29,H38)&gt;0,SUM(H29,H38),"")</f>
        <v/>
      </c>
    </row>
    <row r="40" spans="5:8" ht="15" customHeight="1"/>
    <row r="41" spans="5:8"/>
    <row r="42" spans="5:8"/>
    <row r="43" spans="5:8" hidden="1"/>
    <row r="44" spans="5:8" hidden="1"/>
    <row r="45" spans="5:8" hidden="1"/>
    <row r="46" spans="5:8" hidden="1"/>
    <row r="47" spans="5:8" hidden="1"/>
    <row r="48" spans="5:8" hidden="1"/>
    <row r="49" spans="4:8" hidden="1"/>
    <row r="50" spans="4:8" hidden="1"/>
    <row r="51" spans="4:8" hidden="1"/>
    <row r="52" spans="4:8" ht="36.75" hidden="1" customHeight="1">
      <c r="D52">
        <v>2</v>
      </c>
      <c r="H52" s="53" t="s">
        <v>535</v>
      </c>
    </row>
    <row r="53" spans="4:8" hidden="1">
      <c r="H53" s="74" t="s">
        <v>698</v>
      </c>
    </row>
    <row r="54" spans="4:8" hidden="1">
      <c r="H54" s="74" t="s">
        <v>698</v>
      </c>
    </row>
    <row r="55" spans="4:8" hidden="1">
      <c r="H55" s="207" t="s">
        <v>672</v>
      </c>
    </row>
    <row r="56" spans="4:8" hidden="1">
      <c r="H56" s="139"/>
    </row>
    <row r="57" spans="4:8" hidden="1">
      <c r="H57" s="141"/>
    </row>
    <row r="58" spans="4:8" hidden="1">
      <c r="H58" s="115"/>
    </row>
    <row r="59" spans="4:8" hidden="1">
      <c r="H59" s="114"/>
    </row>
    <row r="60" spans="4:8" hidden="1">
      <c r="H60" s="88"/>
    </row>
    <row r="61" spans="4:8" hidden="1">
      <c r="H61" s="109" t="str">
        <f>IF(COUNT(H63:H67)&gt;0,SUM(H63:H67),"")</f>
        <v/>
      </c>
    </row>
    <row r="62" spans="4:8" hidden="1">
      <c r="H62" s="117"/>
    </row>
    <row r="63" spans="4:8" hidden="1">
      <c r="H63" s="124"/>
    </row>
    <row r="64" spans="4:8" hidden="1">
      <c r="H64" s="125"/>
    </row>
    <row r="65" spans="8:8" hidden="1">
      <c r="H65" s="125"/>
    </row>
    <row r="66" spans="8:8" hidden="1">
      <c r="H66" s="125"/>
    </row>
    <row r="67" spans="8:8" hidden="1">
      <c r="H67" s="126"/>
    </row>
    <row r="68" spans="8:8" hidden="1">
      <c r="H68" s="109" t="str">
        <f>IF(COUNT(H60:H61)&gt;0,SUM(H60:H61),"")</f>
        <v/>
      </c>
    </row>
    <row r="69" spans="8:8" hidden="1">
      <c r="H69" s="124"/>
    </row>
    <row r="70" spans="8:8" hidden="1">
      <c r="H70" s="125"/>
    </row>
    <row r="71" spans="8:8" hidden="1">
      <c r="H71" s="126"/>
    </row>
    <row r="72" spans="8:8" hidden="1">
      <c r="H72" s="110" t="str">
        <f>IF(COUNT(H68:H71)&gt;0,SUM(H68:H71),"")</f>
        <v/>
      </c>
    </row>
    <row r="73" spans="8:8" hidden="1">
      <c r="H73" s="116"/>
    </row>
    <row r="74" spans="8:8" hidden="1">
      <c r="H74" s="124"/>
    </row>
    <row r="75" spans="8:8" hidden="1">
      <c r="H75" s="125"/>
    </row>
    <row r="76" spans="8:8" hidden="1">
      <c r="H76" s="125"/>
    </row>
    <row r="77" spans="8:8" hidden="1">
      <c r="H77" s="125"/>
    </row>
    <row r="78" spans="8:8" hidden="1">
      <c r="H78" s="125"/>
    </row>
    <row r="79" spans="8:8" hidden="1">
      <c r="H79" s="125"/>
    </row>
    <row r="80" spans="8:8" hidden="1">
      <c r="H80" s="126"/>
    </row>
    <row r="81" spans="8:8" ht="15.75" hidden="1" thickBot="1">
      <c r="H81" s="112" t="str">
        <f>IF(COUNT(H74:H80)&gt;0,SUM(H74:H80),"")</f>
        <v/>
      </c>
    </row>
    <row r="82" spans="8:8" ht="15.75" hidden="1" thickTop="1">
      <c r="H82" s="113" t="str">
        <f>IF(COUNT(H72,H81)&gt;0,SUM(H72,H81),"")</f>
        <v/>
      </c>
    </row>
    <row r="83" spans="8:8" hidden="1"/>
    <row r="84" spans="8:8" hidden="1"/>
    <row r="85" spans="8:8" hidden="1"/>
    <row r="86" spans="8:8" hidden="1"/>
    <row r="87" spans="8:8" hidden="1"/>
    <row r="88" spans="8:8" hidden="1"/>
    <row r="89" spans="8:8" hidden="1"/>
    <row r="90" spans="8:8" hidden="1"/>
    <row r="91" spans="8:8" hidden="1"/>
    <row r="92" spans="8:8" hidden="1"/>
    <row r="93" spans="8:8" hidden="1"/>
    <row r="94" spans="8:8" hidden="1"/>
    <row r="95" spans="8:8" hidden="1"/>
    <row r="96" spans="8:8" hidden="1"/>
    <row r="97" hidden="1"/>
    <row r="98" hidden="1"/>
    <row r="99" hidden="1"/>
    <row r="100" hidden="1"/>
  </sheetData>
  <sheetProtection algorithmName="SHA-512" hashValue="HgNy9ysaO6JalQ9MknYsnG+/R67GXVn9UxXGEXtJFHEyhqD7vEL0/2e2Ov6NDwIGAcYujNcCjXIVVPc4Zp9L3g==" saltValue="gywnFIulMOuQsmteZNrjzA==" spinCount="100000" sheet="1" objects="1" scenarios="1"/>
  <mergeCells count="26">
    <mergeCell ref="F38:G38"/>
    <mergeCell ref="F39:G39"/>
    <mergeCell ref="F30:G30"/>
    <mergeCell ref="E5:I5"/>
    <mergeCell ref="F28:G28"/>
    <mergeCell ref="F10:G10"/>
    <mergeCell ref="F11:G11"/>
    <mergeCell ref="F12:G12"/>
    <mergeCell ref="F13:G13"/>
    <mergeCell ref="F14:G14"/>
    <mergeCell ref="F15:G15"/>
    <mergeCell ref="F17:G17"/>
    <mergeCell ref="F18:G18"/>
    <mergeCell ref="F26:G26"/>
    <mergeCell ref="F27:G27"/>
    <mergeCell ref="F25:G25"/>
    <mergeCell ref="E8:H8"/>
    <mergeCell ref="F16:G16"/>
    <mergeCell ref="F36:G36"/>
    <mergeCell ref="F37:G37"/>
    <mergeCell ref="F29:G29"/>
    <mergeCell ref="F31:G31"/>
    <mergeCell ref="F32:G32"/>
    <mergeCell ref="F33:G33"/>
    <mergeCell ref="F34:G34"/>
    <mergeCell ref="F35:G35"/>
  </mergeCells>
  <dataValidations count="1">
    <dataValidation type="decimal" allowBlank="1" showInputMessage="1" showErrorMessage="1" sqref="G20:H24 H63:H67 H69:H71 H60 H74:H80 H26:H28 H17 H31:H37">
      <formula1>-9.99999999999999E+36</formula1>
      <formula2>9.99999999999999E+36</formula2>
    </dataValidation>
  </dataValidations>
  <hyperlinks>
    <hyperlink ref="H52" location="'SPVs held through HoldCos'!A1" display="Delete Record "/>
  </hyperlinks>
  <pageMargins left="0.7" right="0.7" top="0.75" bottom="0.75" header="0.3" footer="0.3"/>
  <pageSetup orientation="portrait" r:id="rId1"/>
  <headerFooter>
    <oddFooter>&amp;C&amp;"Arial"&amp;8&amp;K8585FF BSE -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Klassify>
  <SNO>1</SNO>
  <KDate>2021-04-23 13:17:20</KDate>
  <Classification>BSE - INTERNAL</Classification>
  <HostName>BSEF24WD201</HostName>
  <Domain_User>BSELTD/harshad.naik</Domain_User>
  <IPAdd>10.228.19.201</IPAdd>
  <FilePath>\\Bsecifs02\listings\NOT_USEFUL - Revocation Cell\weekly pendency report to RCD dept\WORKFILES 2014\Harshad Naik\XBRL\March 2021\REIT INVIT\FR\Financial Results - RITS or INVITS.XLSM</FilePath>
  <KID>F4939FEAA3BC637547806408242370</KID>
  <UniqueName/>
  <Suggested/>
  <Justification/>
</Klassify>
</file>

<file path=customXml/itemProps1.xml><?xml version="1.0" encoding="utf-8"?>
<ds:datastoreItem xmlns:ds="http://schemas.openxmlformats.org/officeDocument/2006/customXml" ds:itemID="{8A10D360-084C-4AFC-8022-C0411E55F3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Index</vt:lpstr>
      <vt:lpstr>General Info</vt:lpstr>
      <vt:lpstr>Distribution</vt:lpstr>
      <vt:lpstr>Net Asset Value</vt:lpstr>
      <vt:lpstr>TextBlock</vt:lpstr>
      <vt:lpstr>Details of Funds raised</vt:lpstr>
      <vt:lpstr>Details of Assets Acquired</vt:lpstr>
      <vt:lpstr>Details of Assets Disposed Off</vt:lpstr>
      <vt:lpstr>Details of Capital Raised</vt:lpstr>
      <vt:lpstr>Taxonomy</vt:lpstr>
      <vt:lpstr>Net Distributable Cash Flow</vt:lpstr>
      <vt:lpstr>Capital and Debt Structure_SPVs</vt:lpstr>
      <vt:lpstr>SPVs held through HoldCos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Dhrumit</dc:creator>
  <cp:lastModifiedBy>DELL</cp:lastModifiedBy>
  <dcterms:created xsi:type="dcterms:W3CDTF">2021-03-27T12:32:43Z</dcterms:created>
  <dcterms:modified xsi:type="dcterms:W3CDTF">2022-03-11T09:36:22Z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tion">
    <vt:lpwstr>BSE - INTERNAL</vt:lpwstr>
  </property>
  <property fmtid="{D5CDD505-2E9C-101B-9397-08002B2CF9AE}" pid="3" name="Rules">
    <vt:lpwstr/>
  </property>
  <property fmtid="{D5CDD505-2E9C-101B-9397-08002B2CF9AE}" pid="4" name="KID">
    <vt:lpwstr>F4939FEAA3BC637547806408242370</vt:lpwstr>
  </property>
</Properties>
</file>